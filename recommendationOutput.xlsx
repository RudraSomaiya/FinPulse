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/>
  <mc:AlternateContent xmlns:mc="http://schemas.openxmlformats.org/markup-compatibility/2006">
    <mc:Choice Requires="x15">
      <x15ac:absPath xmlns:x15ac="http://schemas.microsoft.com/office/spreadsheetml/2010/11/ac" url="D:\Uni Stuff\Internships\AiGENThix\jonathan\"/>
    </mc:Choice>
  </mc:AlternateContent>
  <xr:revisionPtr revIDLastSave="0" documentId="13_ncr:1_{87AEB074-D972-43B8-B461-63FA4CBBA85C}" xr6:coauthVersionLast="47" xr6:coauthVersionMax="47" xr10:uidLastSave="{00000000-0000-0000-0000-000000000000}"/>
  <bookViews>
    <workbookView xWindow="-108" yWindow="-108" windowWidth="23256" windowHeight="13176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2" i="1"/>
</calcChain>
</file>

<file path=xl/sharedStrings.xml><?xml version="1.0" encoding="utf-8"?>
<sst xmlns="http://schemas.openxmlformats.org/spreadsheetml/2006/main" count="1348" uniqueCount="552">
  <si>
    <t>Client</t>
  </si>
  <si>
    <t>Cluster</t>
  </si>
  <si>
    <t>Current_ProductType</t>
  </si>
  <si>
    <t>Current_ProductType_Date</t>
  </si>
  <si>
    <t>Current_ProductType_Amount</t>
  </si>
  <si>
    <t>Recommended_ProductType</t>
  </si>
  <si>
    <t>Confidence</t>
  </si>
  <si>
    <t>Predicted_Amount_SGD</t>
  </si>
  <si>
    <t>Recommended_Amount_P10</t>
  </si>
  <si>
    <t>Recommended_Amount_P50</t>
  </si>
  <si>
    <t>Recommended_Amount_P90</t>
  </si>
  <si>
    <t>Predicted_Purchase_Date</t>
  </si>
  <si>
    <t>Avg_Historical_Amount</t>
  </si>
  <si>
    <t>Total_Transactions</t>
  </si>
  <si>
    <t>Top_10pct_Buyer</t>
  </si>
  <si>
    <t>First_Investment_Date</t>
  </si>
  <si>
    <t>Total_Invested_SGD</t>
  </si>
  <si>
    <t>B1</t>
  </si>
  <si>
    <t>Regular Retail Investor</t>
  </si>
  <si>
    <t>ETF</t>
  </si>
  <si>
    <t>17.03%</t>
  </si>
  <si>
    <t>234.82</t>
  </si>
  <si>
    <t>1,827.76</t>
  </si>
  <si>
    <t>B10</t>
  </si>
  <si>
    <t>STOCK</t>
  </si>
  <si>
    <t>33.26%</t>
  </si>
  <si>
    <t>25,511.92</t>
  </si>
  <si>
    <t>44,893.02</t>
  </si>
  <si>
    <t>B100</t>
  </si>
  <si>
    <t>DPMS</t>
  </si>
  <si>
    <t>36.00%</t>
  </si>
  <si>
    <t>1,000.00</t>
  </si>
  <si>
    <t>674.09</t>
  </si>
  <si>
    <t>B101</t>
  </si>
  <si>
    <t>New/Single-Transaction</t>
  </si>
  <si>
    <t>18.00%</t>
  </si>
  <si>
    <t>10,074.42</t>
  </si>
  <si>
    <t>B102</t>
  </si>
  <si>
    <t>Passive Long-Term Investor</t>
  </si>
  <si>
    <t>12.99%</t>
  </si>
  <si>
    <t>30,601.91</t>
  </si>
  <si>
    <t>35,301.87</t>
  </si>
  <si>
    <t>B103</t>
  </si>
  <si>
    <t>22,997.78</t>
  </si>
  <si>
    <t>30,325.69</t>
  </si>
  <si>
    <t>B104</t>
  </si>
  <si>
    <t>BOND</t>
  </si>
  <si>
    <t>30.85%</t>
  </si>
  <si>
    <t>80,096.20</t>
  </si>
  <si>
    <t>B105</t>
  </si>
  <si>
    <t>4,375.24</t>
  </si>
  <si>
    <t>4,376.98</t>
  </si>
  <si>
    <t>B106</t>
  </si>
  <si>
    <t>27,577.00</t>
  </si>
  <si>
    <t>B107</t>
  </si>
  <si>
    <t>50,000.00</t>
  </si>
  <si>
    <t>B108</t>
  </si>
  <si>
    <t>10,000.00</t>
  </si>
  <si>
    <t>13,975.60</t>
  </si>
  <si>
    <t>B109</t>
  </si>
  <si>
    <t>3,422.07</t>
  </si>
  <si>
    <t>6,873.10</t>
  </si>
  <si>
    <t>B11</t>
  </si>
  <si>
    <t>3,387.04</t>
  </si>
  <si>
    <t>3,811.74</t>
  </si>
  <si>
    <t>B110</t>
  </si>
  <si>
    <t>UT</t>
  </si>
  <si>
    <t>29.53%</t>
  </si>
  <si>
    <t>B111</t>
  </si>
  <si>
    <t>20,846.61</t>
  </si>
  <si>
    <t>27,821.55</t>
  </si>
  <si>
    <t>B112</t>
  </si>
  <si>
    <t>20,000.00</t>
  </si>
  <si>
    <t>B113</t>
  </si>
  <si>
    <t>43,034.61</t>
  </si>
  <si>
    <t>46,370.38</t>
  </si>
  <si>
    <t>B114</t>
  </si>
  <si>
    <t>28,683.84</t>
  </si>
  <si>
    <t>24,673.69</t>
  </si>
  <si>
    <t>B115</t>
  </si>
  <si>
    <t>49,878.50</t>
  </si>
  <si>
    <t>B116</t>
  </si>
  <si>
    <t>9,989.29</t>
  </si>
  <si>
    <t>B117</t>
  </si>
  <si>
    <t>30,000.00</t>
  </si>
  <si>
    <t>B118</t>
  </si>
  <si>
    <t>Ultra High-Net-Worth</t>
  </si>
  <si>
    <t>937,000.00</t>
  </si>
  <si>
    <t>820,498.67</t>
  </si>
  <si>
    <t>B119</t>
  </si>
  <si>
    <t>10,180.78</t>
  </si>
  <si>
    <t>9,903.02</t>
  </si>
  <si>
    <t>B12</t>
  </si>
  <si>
    <t>15,586.51</t>
  </si>
  <si>
    <t>25,611.76</t>
  </si>
  <si>
    <t>B120</t>
  </si>
  <si>
    <t>998.30</t>
  </si>
  <si>
    <t>2,608.47</t>
  </si>
  <si>
    <t>B121</t>
  </si>
  <si>
    <t>11,248.30</t>
  </si>
  <si>
    <t>19,090.91</t>
  </si>
  <si>
    <t>B122</t>
  </si>
  <si>
    <t>13,866.93</t>
  </si>
  <si>
    <t>17,590.02</t>
  </si>
  <si>
    <t>B123</t>
  </si>
  <si>
    <t>109,918.19</t>
  </si>
  <si>
    <t>110,000.00</t>
  </si>
  <si>
    <t>B124</t>
  </si>
  <si>
    <t>1,258.67</t>
  </si>
  <si>
    <t>B126</t>
  </si>
  <si>
    <t>9,491.90</t>
  </si>
  <si>
    <t>B127</t>
  </si>
  <si>
    <t>80,261.87</t>
  </si>
  <si>
    <t>70,712.96</t>
  </si>
  <si>
    <t>B128</t>
  </si>
  <si>
    <t>735.33</t>
  </si>
  <si>
    <t>852.38</t>
  </si>
  <si>
    <t>B129</t>
  </si>
  <si>
    <t>80,000.00</t>
  </si>
  <si>
    <t>B13</t>
  </si>
  <si>
    <t>354.97</t>
  </si>
  <si>
    <t>B131</t>
  </si>
  <si>
    <t>3,571.78</t>
  </si>
  <si>
    <t>5,408.88</t>
  </si>
  <si>
    <t>B132</t>
  </si>
  <si>
    <t>600.00</t>
  </si>
  <si>
    <t>B134</t>
  </si>
  <si>
    <t>177,724.91</t>
  </si>
  <si>
    <t>261,076.54</t>
  </si>
  <si>
    <t>B135</t>
  </si>
  <si>
    <t>30.00%</t>
  </si>
  <si>
    <t>1,157.12</t>
  </si>
  <si>
    <t>1,255.28</t>
  </si>
  <si>
    <t>B136</t>
  </si>
  <si>
    <t>12,045.00</t>
  </si>
  <si>
    <t>27,142.86</t>
  </si>
  <si>
    <t>B137</t>
  </si>
  <si>
    <t>121,575.88</t>
  </si>
  <si>
    <t>159,872.23</t>
  </si>
  <si>
    <t>B138</t>
  </si>
  <si>
    <t>33,054.30</t>
  </si>
  <si>
    <t>41,808.52</t>
  </si>
  <si>
    <t>B14</t>
  </si>
  <si>
    <t>1,955.04</t>
  </si>
  <si>
    <t>3,347.57</t>
  </si>
  <si>
    <t>B141</t>
  </si>
  <si>
    <t>10,786.30</t>
  </si>
  <si>
    <t>26,045.69</t>
  </si>
  <si>
    <t>B142</t>
  </si>
  <si>
    <t>13,435.00</t>
  </si>
  <si>
    <t>B143</t>
  </si>
  <si>
    <t>116,442.94</t>
  </si>
  <si>
    <t>199,609.88</t>
  </si>
  <si>
    <t>B144</t>
  </si>
  <si>
    <t>100.00</t>
  </si>
  <si>
    <t>166.67</t>
  </si>
  <si>
    <t>B145</t>
  </si>
  <si>
    <t>150,000.00</t>
  </si>
  <si>
    <t>88,152.63</t>
  </si>
  <si>
    <t>B147</t>
  </si>
  <si>
    <t>14,871.49</t>
  </si>
  <si>
    <t>90,346.62</t>
  </si>
  <si>
    <t>B148</t>
  </si>
  <si>
    <t>28,832.75</t>
  </si>
  <si>
    <t>B15</t>
  </si>
  <si>
    <t>3,880.65</t>
  </si>
  <si>
    <t>4,290.52</t>
  </si>
  <si>
    <t>B150</t>
  </si>
  <si>
    <t>15,300.18</t>
  </si>
  <si>
    <t>B152</t>
  </si>
  <si>
    <t>1,795.00</t>
  </si>
  <si>
    <t>2,515.00</t>
  </si>
  <si>
    <t>B153</t>
  </si>
  <si>
    <t>24,000.00</t>
  </si>
  <si>
    <t>B154</t>
  </si>
  <si>
    <t>3,301.16</t>
  </si>
  <si>
    <t>4,991.53</t>
  </si>
  <si>
    <t>B156</t>
  </si>
  <si>
    <t>6,400.00</t>
  </si>
  <si>
    <t>7,371.43</t>
  </si>
  <si>
    <t>B158</t>
  </si>
  <si>
    <t>28,571.43</t>
  </si>
  <si>
    <t>B16</t>
  </si>
  <si>
    <t>7,439.74</t>
  </si>
  <si>
    <t>9,071.49</t>
  </si>
  <si>
    <t>B160</t>
  </si>
  <si>
    <t>100,000.00</t>
  </si>
  <si>
    <t>B163</t>
  </si>
  <si>
    <t>500.00</t>
  </si>
  <si>
    <t>456.81</t>
  </si>
  <si>
    <t>B164</t>
  </si>
  <si>
    <t>980.36</t>
  </si>
  <si>
    <t>990.18</t>
  </si>
  <si>
    <t>B165</t>
  </si>
  <si>
    <t>21,033.81</t>
  </si>
  <si>
    <t>B166</t>
  </si>
  <si>
    <t>103,672.32</t>
  </si>
  <si>
    <t>B167</t>
  </si>
  <si>
    <t>99,821.55</t>
  </si>
  <si>
    <t>99,948.36</t>
  </si>
  <si>
    <t>B17</t>
  </si>
  <si>
    <t>913.66</t>
  </si>
  <si>
    <t>3,010.20</t>
  </si>
  <si>
    <t>B170</t>
  </si>
  <si>
    <t>1,383.08</t>
  </si>
  <si>
    <t>1,583.18</t>
  </si>
  <si>
    <t>B171</t>
  </si>
  <si>
    <t>7,763.32</t>
  </si>
  <si>
    <t>11,694.14</t>
  </si>
  <si>
    <t>B172</t>
  </si>
  <si>
    <t>42.00%</t>
  </si>
  <si>
    <t>16,369.06</t>
  </si>
  <si>
    <t>11,534.49</t>
  </si>
  <si>
    <t>B173</t>
  </si>
  <si>
    <t>12,142.86</t>
  </si>
  <si>
    <t>B174</t>
  </si>
  <si>
    <t>21,134.03</t>
  </si>
  <si>
    <t>53,503.92</t>
  </si>
  <si>
    <t>B175</t>
  </si>
  <si>
    <t>14,748.30</t>
  </si>
  <si>
    <t>13,545.45</t>
  </si>
  <si>
    <t>B177</t>
  </si>
  <si>
    <t>847.16</t>
  </si>
  <si>
    <t>1,484.23</t>
  </si>
  <si>
    <t>B178</t>
  </si>
  <si>
    <t>13,058.85</t>
  </si>
  <si>
    <t>15,615.38</t>
  </si>
  <si>
    <t>B18</t>
  </si>
  <si>
    <t>3,010.80</t>
  </si>
  <si>
    <t>3,532.42</t>
  </si>
  <si>
    <t>B181</t>
  </si>
  <si>
    <t>17,559.72</t>
  </si>
  <si>
    <t>23,220.37</t>
  </si>
  <si>
    <t>B182</t>
  </si>
  <si>
    <t>24.00%</t>
  </si>
  <si>
    <t>9,000.76</t>
  </si>
  <si>
    <t>9,229.25</t>
  </si>
  <si>
    <t>B183</t>
  </si>
  <si>
    <t>4,174.27</t>
  </si>
  <si>
    <t>11,167.02</t>
  </si>
  <si>
    <t>B184</t>
  </si>
  <si>
    <t>3,760.74</t>
  </si>
  <si>
    <t>4,668.88</t>
  </si>
  <si>
    <t>B185</t>
  </si>
  <si>
    <t>15,300.00</t>
  </si>
  <si>
    <t>B186</t>
  </si>
  <si>
    <t>1,485.00</t>
  </si>
  <si>
    <t>1,440.00</t>
  </si>
  <si>
    <t>B187</t>
  </si>
  <si>
    <t>2,812.50</t>
  </si>
  <si>
    <t>3,750.00</t>
  </si>
  <si>
    <t>B188</t>
  </si>
  <si>
    <t>5,500.00</t>
  </si>
  <si>
    <t>B189</t>
  </si>
  <si>
    <t>B19</t>
  </si>
  <si>
    <t>14,761.65</t>
  </si>
  <si>
    <t>6,131.81</t>
  </si>
  <si>
    <t>B190</t>
  </si>
  <si>
    <t>29,735.55</t>
  </si>
  <si>
    <t>B191</t>
  </si>
  <si>
    <t>43,000.00</t>
  </si>
  <si>
    <t>36,100.00</t>
  </si>
  <si>
    <t>B192</t>
  </si>
  <si>
    <t>15,472.03</t>
  </si>
  <si>
    <t>B193</t>
  </si>
  <si>
    <t>12,500.00</t>
  </si>
  <si>
    <t>21,268.92</t>
  </si>
  <si>
    <t>B194</t>
  </si>
  <si>
    <t>6,497.50</t>
  </si>
  <si>
    <t>B195</t>
  </si>
  <si>
    <t>6,126.67</t>
  </si>
  <si>
    <t>15,759.89</t>
  </si>
  <si>
    <t>B197</t>
  </si>
  <si>
    <t>2,251.30</t>
  </si>
  <si>
    <t>4,490.47</t>
  </si>
  <si>
    <t>B198</t>
  </si>
  <si>
    <t>5,278.25</t>
  </si>
  <si>
    <t>8,032.90</t>
  </si>
  <si>
    <t>B199</t>
  </si>
  <si>
    <t>30,050.27</t>
  </si>
  <si>
    <t>35,236.76</t>
  </si>
  <si>
    <t>B2</t>
  </si>
  <si>
    <t>48.00%</t>
  </si>
  <si>
    <t>3,604.30</t>
  </si>
  <si>
    <t>6,651.39</t>
  </si>
  <si>
    <t>B200</t>
  </si>
  <si>
    <t>35,700.00</t>
  </si>
  <si>
    <t>B201</t>
  </si>
  <si>
    <t>843.00</t>
  </si>
  <si>
    <t>B202</t>
  </si>
  <si>
    <t>32,030.40</t>
  </si>
  <si>
    <t>31,955.40</t>
  </si>
  <si>
    <t>B205</t>
  </si>
  <si>
    <t>12,858.02</t>
  </si>
  <si>
    <t>14,414.73</t>
  </si>
  <si>
    <t>B206</t>
  </si>
  <si>
    <t>450.00</t>
  </si>
  <si>
    <t>712.50</t>
  </si>
  <si>
    <t>B207</t>
  </si>
  <si>
    <t>49,734.91</t>
  </si>
  <si>
    <t>B208</t>
  </si>
  <si>
    <t>960.14</t>
  </si>
  <si>
    <t>9,028.01</t>
  </si>
  <si>
    <t>B209</t>
  </si>
  <si>
    <t>3,811.81</t>
  </si>
  <si>
    <t>3,960.88</t>
  </si>
  <si>
    <t>B21</t>
  </si>
  <si>
    <t>19,521.35</t>
  </si>
  <si>
    <t>19,440.63</t>
  </si>
  <si>
    <t>B210</t>
  </si>
  <si>
    <t>77,814.93</t>
  </si>
  <si>
    <t>B212</t>
  </si>
  <si>
    <t>21,793.92</t>
  </si>
  <si>
    <t>19,916.76</t>
  </si>
  <si>
    <t>B213</t>
  </si>
  <si>
    <t>59,253.28</t>
  </si>
  <si>
    <t>52,377.48</t>
  </si>
  <si>
    <t>B215</t>
  </si>
  <si>
    <t>B22</t>
  </si>
  <si>
    <t>2,000.00</t>
  </si>
  <si>
    <t>B23</t>
  </si>
  <si>
    <t>6,037.26</t>
  </si>
  <si>
    <t>7,305.09</t>
  </si>
  <si>
    <t>B24</t>
  </si>
  <si>
    <t>5,000.00</t>
  </si>
  <si>
    <t>B25</t>
  </si>
  <si>
    <t>16,273.18</t>
  </si>
  <si>
    <t>19,067.14</t>
  </si>
  <si>
    <t>B26</t>
  </si>
  <si>
    <t>3,300.00</t>
  </si>
  <si>
    <t>B27</t>
  </si>
  <si>
    <t>16,610.98</t>
  </si>
  <si>
    <t>75,212.93</t>
  </si>
  <si>
    <t>B28</t>
  </si>
  <si>
    <t>6,868.62</t>
  </si>
  <si>
    <t>15,277.51</t>
  </si>
  <si>
    <t>B29</t>
  </si>
  <si>
    <t>29,036.00</t>
  </si>
  <si>
    <t>24,087.23</t>
  </si>
  <si>
    <t>B3</t>
  </si>
  <si>
    <t>16,810.27</t>
  </si>
  <si>
    <t>27,205.31</t>
  </si>
  <si>
    <t>B30</t>
  </si>
  <si>
    <t>8,218.64</t>
  </si>
  <si>
    <t>B31</t>
  </si>
  <si>
    <t>40,162.17</t>
  </si>
  <si>
    <t>B32</t>
  </si>
  <si>
    <t>1,569.32</t>
  </si>
  <si>
    <t>7,978.79</t>
  </si>
  <si>
    <t>B33</t>
  </si>
  <si>
    <t>20,525.99</t>
  </si>
  <si>
    <t>112,703.07</t>
  </si>
  <si>
    <t>B34</t>
  </si>
  <si>
    <t>9,993.51</t>
  </si>
  <si>
    <t>19,242.81</t>
  </si>
  <si>
    <t>B35</t>
  </si>
  <si>
    <t>2,850.46</t>
  </si>
  <si>
    <t>3,371.07</t>
  </si>
  <si>
    <t>B36</t>
  </si>
  <si>
    <t>3,244.93</t>
  </si>
  <si>
    <t>6,679.83</t>
  </si>
  <si>
    <t>B37</t>
  </si>
  <si>
    <t>2,723.72</t>
  </si>
  <si>
    <t>2,835.37</t>
  </si>
  <si>
    <t>B38</t>
  </si>
  <si>
    <t>95,868.33</t>
  </si>
  <si>
    <t>61,930.25</t>
  </si>
  <si>
    <t>B39</t>
  </si>
  <si>
    <t>12,295.35</t>
  </si>
  <si>
    <t>19,207.76</t>
  </si>
  <si>
    <t>B4</t>
  </si>
  <si>
    <t>5,978.18</t>
  </si>
  <si>
    <t>6,699.54</t>
  </si>
  <si>
    <t>B40</t>
  </si>
  <si>
    <t>4,412.40</t>
  </si>
  <si>
    <t>10,084.61</t>
  </si>
  <si>
    <t>B41</t>
  </si>
  <si>
    <t>4,583.86</t>
  </si>
  <si>
    <t>4,997.71</t>
  </si>
  <si>
    <t>B42</t>
  </si>
  <si>
    <t>3,079.78</t>
  </si>
  <si>
    <t>9,302.85</t>
  </si>
  <si>
    <t>B43</t>
  </si>
  <si>
    <t>640.17</t>
  </si>
  <si>
    <t>15,176.00</t>
  </si>
  <si>
    <t>B44</t>
  </si>
  <si>
    <t>1,822.87</t>
  </si>
  <si>
    <t>2,244.87</t>
  </si>
  <si>
    <t>B45</t>
  </si>
  <si>
    <t>50,781.79</t>
  </si>
  <si>
    <t>52,315.18</t>
  </si>
  <si>
    <t>B46</t>
  </si>
  <si>
    <t>1,853.45</t>
  </si>
  <si>
    <t>2,265.76</t>
  </si>
  <si>
    <t>B47</t>
  </si>
  <si>
    <t>7,081.04</t>
  </si>
  <si>
    <t>5,377.49</t>
  </si>
  <si>
    <t>B48</t>
  </si>
  <si>
    <t>10,321.26</t>
  </si>
  <si>
    <t>B49</t>
  </si>
  <si>
    <t>5,469.95</t>
  </si>
  <si>
    <t>7,248.97</t>
  </si>
  <si>
    <t>B5</t>
  </si>
  <si>
    <t>12,426.43</t>
  </si>
  <si>
    <t>28,413.86</t>
  </si>
  <si>
    <t>B50</t>
  </si>
  <si>
    <t>5,914.70</t>
  </si>
  <si>
    <t>5,740.28</t>
  </si>
  <si>
    <t>B51</t>
  </si>
  <si>
    <t>5,161.14</t>
  </si>
  <si>
    <t>10,449.16</t>
  </si>
  <si>
    <t>B52</t>
  </si>
  <si>
    <t>7,706.41</t>
  </si>
  <si>
    <t>7,961.75</t>
  </si>
  <si>
    <t>B53</t>
  </si>
  <si>
    <t>10,801.37</t>
  </si>
  <si>
    <t>33,864.25</t>
  </si>
  <si>
    <t>B54</t>
  </si>
  <si>
    <t>11,387.80</t>
  </si>
  <si>
    <t>13,856.29</t>
  </si>
  <si>
    <t>B55</t>
  </si>
  <si>
    <t>22,692.87</t>
  </si>
  <si>
    <t>29,945.69</t>
  </si>
  <si>
    <t>B56</t>
  </si>
  <si>
    <t>4,213.41</t>
  </si>
  <si>
    <t>B57</t>
  </si>
  <si>
    <t>54.00%</t>
  </si>
  <si>
    <t>4,996.56</t>
  </si>
  <si>
    <t>4,112.38</t>
  </si>
  <si>
    <t>B58</t>
  </si>
  <si>
    <t>B59</t>
  </si>
  <si>
    <t>32,494.04</t>
  </si>
  <si>
    <t>38,665.30</t>
  </si>
  <si>
    <t>B6</t>
  </si>
  <si>
    <t>20,853.14</t>
  </si>
  <si>
    <t>101,280.18</t>
  </si>
  <si>
    <t>B60</t>
  </si>
  <si>
    <t>6,550.26</t>
  </si>
  <si>
    <t>12,522.88</t>
  </si>
  <si>
    <t>B61</t>
  </si>
  <si>
    <t>10,638.21</t>
  </si>
  <si>
    <t>10,366.40</t>
  </si>
  <si>
    <t>B62</t>
  </si>
  <si>
    <t>7,111.96</t>
  </si>
  <si>
    <t>6,742.27</t>
  </si>
  <si>
    <t>B63</t>
  </si>
  <si>
    <t>4,992.36</t>
  </si>
  <si>
    <t>5,794.44</t>
  </si>
  <si>
    <t>B64</t>
  </si>
  <si>
    <t>29,838.02</t>
  </si>
  <si>
    <t>19,379.35</t>
  </si>
  <si>
    <t>B65</t>
  </si>
  <si>
    <t>23,027.46</t>
  </si>
  <si>
    <t>B66</t>
  </si>
  <si>
    <t>18,473.90</t>
  </si>
  <si>
    <t>18,428.90</t>
  </si>
  <si>
    <t>B67</t>
  </si>
  <si>
    <t>6,595.00</t>
  </si>
  <si>
    <t>6,550.00</t>
  </si>
  <si>
    <t>B68</t>
  </si>
  <si>
    <t>4,225.73</t>
  </si>
  <si>
    <t>B69</t>
  </si>
  <si>
    <t>52,775.50</t>
  </si>
  <si>
    <t>42,060.24</t>
  </si>
  <si>
    <t>B70</t>
  </si>
  <si>
    <t>3,010.22</t>
  </si>
  <si>
    <t>26,505.11</t>
  </si>
  <si>
    <t>B71</t>
  </si>
  <si>
    <t>15,357.60</t>
  </si>
  <si>
    <t>36,168.90</t>
  </si>
  <si>
    <t>B72</t>
  </si>
  <si>
    <t>4,965.22</t>
  </si>
  <si>
    <t>12,829.13</t>
  </si>
  <si>
    <t>B73</t>
  </si>
  <si>
    <t>14,731.88</t>
  </si>
  <si>
    <t>18,484.62</t>
  </si>
  <si>
    <t>B74</t>
  </si>
  <si>
    <t>23,544.99</t>
  </si>
  <si>
    <t>B75</t>
  </si>
  <si>
    <t>12,607.00</t>
  </si>
  <si>
    <t>13,565.09</t>
  </si>
  <si>
    <t>B76</t>
  </si>
  <si>
    <t>29,617.00</t>
  </si>
  <si>
    <t>24,215.01</t>
  </si>
  <si>
    <t>B77</t>
  </si>
  <si>
    <t>16,824.48</t>
  </si>
  <si>
    <t>9,485.15</t>
  </si>
  <si>
    <t>B78</t>
  </si>
  <si>
    <t>34,659.21</t>
  </si>
  <si>
    <t>32,562.28</t>
  </si>
  <si>
    <t>B79</t>
  </si>
  <si>
    <t>9,345.49</t>
  </si>
  <si>
    <t>24,725.12</t>
  </si>
  <si>
    <t>B8</t>
  </si>
  <si>
    <t>12,902.42</t>
  </si>
  <si>
    <t>12,030.93</t>
  </si>
  <si>
    <t>B80</t>
  </si>
  <si>
    <t>324.70</t>
  </si>
  <si>
    <t>318.95</t>
  </si>
  <si>
    <t>B81</t>
  </si>
  <si>
    <t>23,530.11</t>
  </si>
  <si>
    <t>25,858.81</t>
  </si>
  <si>
    <t>B82</t>
  </si>
  <si>
    <t>8,469.77</t>
  </si>
  <si>
    <t>4,616.13</t>
  </si>
  <si>
    <t>B83</t>
  </si>
  <si>
    <t>981.34</t>
  </si>
  <si>
    <t>B84</t>
  </si>
  <si>
    <t>517.43</t>
  </si>
  <si>
    <t>484.19</t>
  </si>
  <si>
    <t>B85</t>
  </si>
  <si>
    <t>B86</t>
  </si>
  <si>
    <t>3,230.97</t>
  </si>
  <si>
    <t>4,404.38</t>
  </si>
  <si>
    <t>B87</t>
  </si>
  <si>
    <t>11,920.00</t>
  </si>
  <si>
    <t>B88</t>
  </si>
  <si>
    <t>740.95</t>
  </si>
  <si>
    <t>1,399.90</t>
  </si>
  <si>
    <t>B89</t>
  </si>
  <si>
    <t>17,000.00</t>
  </si>
  <si>
    <t>B9</t>
  </si>
  <si>
    <t>3,289.28</t>
  </si>
  <si>
    <t>4,835.01</t>
  </si>
  <si>
    <t>B90</t>
  </si>
  <si>
    <t>12,650.54</t>
  </si>
  <si>
    <t>14,373.32</t>
  </si>
  <si>
    <t>B91</t>
  </si>
  <si>
    <t>18,587.59</t>
  </si>
  <si>
    <t>B92</t>
  </si>
  <si>
    <t>19,591.80</t>
  </si>
  <si>
    <t>B93</t>
  </si>
  <si>
    <t>14,789.82</t>
  </si>
  <si>
    <t>43,051.85</t>
  </si>
  <si>
    <t>B94</t>
  </si>
  <si>
    <t>11,774.72</t>
  </si>
  <si>
    <t>30,706.69</t>
  </si>
  <si>
    <t>B95</t>
  </si>
  <si>
    <t>11,847.70</t>
  </si>
  <si>
    <t>8,345.72</t>
  </si>
  <si>
    <t>B96</t>
  </si>
  <si>
    <t>34,957.41</t>
  </si>
  <si>
    <t>B97</t>
  </si>
  <si>
    <t>60.00%</t>
  </si>
  <si>
    <t>2,832.69</t>
  </si>
  <si>
    <t>2,862.51</t>
  </si>
  <si>
    <t>B98</t>
  </si>
  <si>
    <t>2,094.16</t>
  </si>
  <si>
    <t>2,125.11</t>
  </si>
  <si>
    <t>B99</t>
  </si>
  <si>
    <t>6,704.33</t>
  </si>
  <si>
    <t>Client_Birthdate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</si>
</sst>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6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91"/>
  <sheetViews>
    <sheetView tabSelected="1" workbookViewId="0">
      <selection activeCell="T13" sqref="T13"/>
    </sheetView>
  </sheetViews>
  <sheetFormatPr defaultRowHeight="14.4" x14ac:dyDescent="0.3"/>
  <sheetData>
    <row r="1" spans="1:1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551</v>
      </c>
    </row>
    <row r="2" spans="1:18" x14ac:dyDescent="0.3">
      <c r="A2" t="s">
        <v>17</v>
      </c>
      <c r="B2" t="s">
        <v>18</v>
      </c>
      <c r="C2" t="s">
        <v>19</v>
      </c>
      <c r="D2" s="2">
        <v>44805</v>
      </c>
      <c r="E2">
        <v>234.82</v>
      </c>
      <c r="F2" t="s">
        <v>19</v>
      </c>
      <c r="G2" t="s">
        <v>20</v>
      </c>
      <c r="H2" t="s">
        <v>21</v>
      </c>
      <c r="I2">
        <v>0</v>
      </c>
      <c r="J2">
        <v>234.82</v>
      </c>
      <c r="K2">
        <v>1660.8902402845961</v>
      </c>
      <c r="L2" s="2">
        <v>44812</v>
      </c>
      <c r="M2" t="s">
        <v>22</v>
      </c>
      <c r="N2">
        <v>8</v>
      </c>
      <c r="O2" t="b">
        <v>0</v>
      </c>
      <c r="P2" s="3">
        <v>44498</v>
      </c>
      <c r="Q2">
        <v>14622.11</v>
      </c>
      <c r="R2" t="str">
        <f ca="1">TEXT(RANDBETWEEN(DATE(2000,1,1),DATE(2000,12,31)),"dd/mm")</f>
        <v>18/09</v>
      </c>
    </row>
    <row r="3" spans="1:18" x14ac:dyDescent="0.3">
      <c r="A3" t="s">
        <v>23</v>
      </c>
      <c r="B3" t="s">
        <v>18</v>
      </c>
      <c r="C3" t="s">
        <v>24</v>
      </c>
      <c r="D3" s="2">
        <v>45925</v>
      </c>
      <c r="E3">
        <v>53532.71</v>
      </c>
      <c r="F3" t="s">
        <v>24</v>
      </c>
      <c r="G3" t="s">
        <v>25</v>
      </c>
      <c r="H3" t="s">
        <v>26</v>
      </c>
      <c r="I3">
        <v>7967.1975651200264</v>
      </c>
      <c r="J3">
        <v>25511.922390789219</v>
      </c>
      <c r="K3">
        <v>94167.158865345002</v>
      </c>
      <c r="L3" s="2">
        <v>45931</v>
      </c>
      <c r="M3" t="s">
        <v>27</v>
      </c>
      <c r="N3">
        <v>100</v>
      </c>
      <c r="O3" t="b">
        <v>1</v>
      </c>
      <c r="P3" s="3">
        <v>44446</v>
      </c>
      <c r="Q3">
        <v>4489301.67</v>
      </c>
      <c r="R3" t="str">
        <f t="shared" ref="R3:R66" ca="1" si="0">TEXT(RANDBETWEEN(DATE(2000,1,1),DATE(2000,12,31)),"dd/mm")</f>
        <v>09/06</v>
      </c>
    </row>
    <row r="4" spans="1:18" x14ac:dyDescent="0.3">
      <c r="A4" t="s">
        <v>28</v>
      </c>
      <c r="B4" t="s">
        <v>18</v>
      </c>
      <c r="C4" t="s">
        <v>29</v>
      </c>
      <c r="D4" s="2">
        <v>44791</v>
      </c>
      <c r="E4">
        <v>1000</v>
      </c>
      <c r="F4" t="s">
        <v>24</v>
      </c>
      <c r="G4" t="s">
        <v>30</v>
      </c>
      <c r="H4" t="s">
        <v>31</v>
      </c>
      <c r="I4">
        <v>607.07906621749294</v>
      </c>
      <c r="J4">
        <v>1000</v>
      </c>
      <c r="K4">
        <v>3361.141097513118</v>
      </c>
      <c r="L4" s="2">
        <v>44813</v>
      </c>
      <c r="M4" t="s">
        <v>32</v>
      </c>
      <c r="N4">
        <v>5</v>
      </c>
      <c r="O4" t="b">
        <v>0</v>
      </c>
      <c r="P4" s="3">
        <v>44656</v>
      </c>
      <c r="Q4">
        <v>3370.43</v>
      </c>
      <c r="R4" t="str">
        <f t="shared" ca="1" si="0"/>
        <v>20/03</v>
      </c>
    </row>
    <row r="5" spans="1:18" x14ac:dyDescent="0.3">
      <c r="A5" t="s">
        <v>33</v>
      </c>
      <c r="B5" t="s">
        <v>34</v>
      </c>
      <c r="C5" t="s">
        <v>19</v>
      </c>
      <c r="D5" s="2">
        <v>44659</v>
      </c>
      <c r="E5">
        <v>10074.42</v>
      </c>
      <c r="F5" t="s">
        <v>29</v>
      </c>
      <c r="G5" t="s">
        <v>35</v>
      </c>
      <c r="H5" t="s">
        <v>36</v>
      </c>
      <c r="I5">
        <v>10074.42</v>
      </c>
      <c r="J5">
        <v>10074.42</v>
      </c>
      <c r="K5">
        <v>10074.42</v>
      </c>
      <c r="L5" s="2">
        <v>44689</v>
      </c>
      <c r="M5" t="s">
        <v>36</v>
      </c>
      <c r="N5">
        <v>1</v>
      </c>
      <c r="O5" t="b">
        <v>0</v>
      </c>
      <c r="P5" s="3">
        <v>44659</v>
      </c>
      <c r="Q5">
        <v>10074.42</v>
      </c>
      <c r="R5" t="str">
        <f t="shared" ca="1" si="0"/>
        <v>26/04</v>
      </c>
    </row>
    <row r="6" spans="1:18" x14ac:dyDescent="0.3">
      <c r="A6" t="s">
        <v>37</v>
      </c>
      <c r="B6" t="s">
        <v>38</v>
      </c>
      <c r="C6" t="s">
        <v>29</v>
      </c>
      <c r="D6" s="2">
        <v>45383</v>
      </c>
      <c r="E6">
        <v>15300</v>
      </c>
      <c r="F6" t="s">
        <v>29</v>
      </c>
      <c r="G6" t="s">
        <v>39</v>
      </c>
      <c r="H6" t="s">
        <v>40</v>
      </c>
      <c r="I6">
        <v>15306.34871198679</v>
      </c>
      <c r="J6">
        <v>30601.91</v>
      </c>
      <c r="K6">
        <v>58590.881260823393</v>
      </c>
      <c r="L6" s="2">
        <v>45743</v>
      </c>
      <c r="M6" t="s">
        <v>41</v>
      </c>
      <c r="N6">
        <v>3</v>
      </c>
      <c r="O6" t="b">
        <v>0</v>
      </c>
      <c r="P6" s="3">
        <v>44663</v>
      </c>
      <c r="Q6">
        <v>105905.61</v>
      </c>
      <c r="R6" t="str">
        <f t="shared" ca="1" si="0"/>
        <v>16/02</v>
      </c>
    </row>
    <row r="7" spans="1:18" x14ac:dyDescent="0.3">
      <c r="A7" t="s">
        <v>42</v>
      </c>
      <c r="B7" t="s">
        <v>38</v>
      </c>
      <c r="C7" t="s">
        <v>29</v>
      </c>
      <c r="D7" s="2">
        <v>45748</v>
      </c>
      <c r="E7">
        <v>15392</v>
      </c>
      <c r="F7" t="s">
        <v>29</v>
      </c>
      <c r="G7" t="s">
        <v>39</v>
      </c>
      <c r="H7" t="s">
        <v>43</v>
      </c>
      <c r="I7">
        <v>15234.19772766369</v>
      </c>
      <c r="J7">
        <v>22997.775000000001</v>
      </c>
      <c r="K7">
        <v>49650.821620646791</v>
      </c>
      <c r="L7" s="2">
        <v>46113</v>
      </c>
      <c r="M7" t="s">
        <v>44</v>
      </c>
      <c r="N7">
        <v>4</v>
      </c>
      <c r="O7" t="b">
        <v>0</v>
      </c>
      <c r="P7" s="3">
        <v>44663</v>
      </c>
      <c r="Q7">
        <v>121302.77</v>
      </c>
      <c r="R7" t="str">
        <f t="shared" ca="1" si="0"/>
        <v>02/04</v>
      </c>
    </row>
    <row r="8" spans="1:18" x14ac:dyDescent="0.3">
      <c r="A8" t="s">
        <v>45</v>
      </c>
      <c r="B8" t="s">
        <v>18</v>
      </c>
      <c r="C8" t="s">
        <v>46</v>
      </c>
      <c r="D8" s="2">
        <v>44735</v>
      </c>
      <c r="E8">
        <v>130278.2</v>
      </c>
      <c r="F8" t="s">
        <v>46</v>
      </c>
      <c r="G8" t="s">
        <v>47</v>
      </c>
      <c r="H8" t="s">
        <v>48</v>
      </c>
      <c r="I8">
        <v>40392.647494061319</v>
      </c>
      <c r="J8">
        <v>80096.2</v>
      </c>
      <c r="K8">
        <v>137108.1491982663</v>
      </c>
      <c r="L8" s="2">
        <v>44800</v>
      </c>
      <c r="M8" t="s">
        <v>48</v>
      </c>
      <c r="N8">
        <v>2</v>
      </c>
      <c r="O8" t="b">
        <v>0</v>
      </c>
      <c r="P8" s="3">
        <v>44670</v>
      </c>
      <c r="Q8">
        <v>160192.4</v>
      </c>
      <c r="R8" t="str">
        <f t="shared" ca="1" si="0"/>
        <v>11/04</v>
      </c>
    </row>
    <row r="9" spans="1:18" x14ac:dyDescent="0.3">
      <c r="A9" t="s">
        <v>49</v>
      </c>
      <c r="B9" t="s">
        <v>38</v>
      </c>
      <c r="C9" t="s">
        <v>24</v>
      </c>
      <c r="D9" s="2">
        <v>45757</v>
      </c>
      <c r="E9">
        <v>5135.3900000000003</v>
      </c>
      <c r="F9" t="s">
        <v>24</v>
      </c>
      <c r="G9" t="s">
        <v>25</v>
      </c>
      <c r="H9" t="s">
        <v>50</v>
      </c>
      <c r="I9">
        <v>2145.3427723907248</v>
      </c>
      <c r="J9">
        <v>4375.2423587608946</v>
      </c>
      <c r="K9">
        <v>6480.3409396776806</v>
      </c>
      <c r="L9" s="2">
        <v>46838</v>
      </c>
      <c r="M9" t="s">
        <v>51</v>
      </c>
      <c r="N9">
        <v>2</v>
      </c>
      <c r="O9" t="b">
        <v>0</v>
      </c>
      <c r="P9" s="3">
        <v>44676</v>
      </c>
      <c r="Q9">
        <v>8753.9600000000009</v>
      </c>
      <c r="R9" t="str">
        <f t="shared" ca="1" si="0"/>
        <v>13/09</v>
      </c>
    </row>
    <row r="10" spans="1:18" x14ac:dyDescent="0.3">
      <c r="A10" t="s">
        <v>52</v>
      </c>
      <c r="B10" t="s">
        <v>34</v>
      </c>
      <c r="C10" t="s">
        <v>24</v>
      </c>
      <c r="D10" s="2">
        <v>44687</v>
      </c>
      <c r="E10">
        <v>27577</v>
      </c>
      <c r="F10" t="s">
        <v>24</v>
      </c>
      <c r="G10" t="s">
        <v>25</v>
      </c>
      <c r="H10" t="s">
        <v>53</v>
      </c>
      <c r="I10">
        <v>27577</v>
      </c>
      <c r="J10">
        <v>27577</v>
      </c>
      <c r="K10">
        <v>27577</v>
      </c>
      <c r="L10" s="2">
        <v>44717</v>
      </c>
      <c r="M10" t="s">
        <v>53</v>
      </c>
      <c r="N10">
        <v>1</v>
      </c>
      <c r="O10" t="b">
        <v>0</v>
      </c>
      <c r="P10" s="3">
        <v>44687</v>
      </c>
      <c r="Q10">
        <v>27577</v>
      </c>
      <c r="R10" t="str">
        <f t="shared" ca="1" si="0"/>
        <v>08/08</v>
      </c>
    </row>
    <row r="11" spans="1:18" x14ac:dyDescent="0.3">
      <c r="A11" t="s">
        <v>54</v>
      </c>
      <c r="B11" t="s">
        <v>34</v>
      </c>
      <c r="C11" t="s">
        <v>29</v>
      </c>
      <c r="D11" s="2">
        <v>44693</v>
      </c>
      <c r="E11">
        <v>50000</v>
      </c>
      <c r="F11" t="s">
        <v>29</v>
      </c>
      <c r="G11" t="s">
        <v>39</v>
      </c>
      <c r="H11" t="s">
        <v>55</v>
      </c>
      <c r="I11">
        <v>50000</v>
      </c>
      <c r="J11">
        <v>50000</v>
      </c>
      <c r="K11">
        <v>50000</v>
      </c>
      <c r="L11" s="2">
        <v>44723</v>
      </c>
      <c r="M11" t="s">
        <v>55</v>
      </c>
      <c r="N11">
        <v>1</v>
      </c>
      <c r="O11" t="b">
        <v>0</v>
      </c>
      <c r="P11" s="3">
        <v>44693</v>
      </c>
      <c r="Q11">
        <v>50000</v>
      </c>
      <c r="R11" t="str">
        <f t="shared" ca="1" si="0"/>
        <v>06/03</v>
      </c>
    </row>
    <row r="12" spans="1:18" x14ac:dyDescent="0.3">
      <c r="A12" t="s">
        <v>56</v>
      </c>
      <c r="B12" t="s">
        <v>38</v>
      </c>
      <c r="C12" t="s">
        <v>29</v>
      </c>
      <c r="D12" s="2">
        <v>45852</v>
      </c>
      <c r="E12">
        <v>5000</v>
      </c>
      <c r="F12" t="s">
        <v>24</v>
      </c>
      <c r="G12" t="s">
        <v>30</v>
      </c>
      <c r="H12" t="s">
        <v>57</v>
      </c>
      <c r="I12">
        <v>4411.1886348088037</v>
      </c>
      <c r="J12">
        <v>10000</v>
      </c>
      <c r="K12">
        <v>16732.70817900206</v>
      </c>
      <c r="L12" s="2">
        <v>45982</v>
      </c>
      <c r="M12" t="s">
        <v>58</v>
      </c>
      <c r="N12">
        <v>6</v>
      </c>
      <c r="O12" t="b">
        <v>0</v>
      </c>
      <c r="P12" s="3">
        <v>44721</v>
      </c>
      <c r="Q12">
        <v>83853.62</v>
      </c>
      <c r="R12" t="str">
        <f t="shared" ca="1" si="0"/>
        <v>24/10</v>
      </c>
    </row>
    <row r="13" spans="1:18" x14ac:dyDescent="0.3">
      <c r="A13" t="s">
        <v>59</v>
      </c>
      <c r="B13" t="s">
        <v>18</v>
      </c>
      <c r="C13" t="s">
        <v>24</v>
      </c>
      <c r="D13" s="2">
        <v>45926</v>
      </c>
      <c r="E13">
        <v>5025.67</v>
      </c>
      <c r="F13" t="s">
        <v>24</v>
      </c>
      <c r="G13" t="s">
        <v>25</v>
      </c>
      <c r="H13" t="s">
        <v>60</v>
      </c>
      <c r="I13">
        <v>1152.168638130509</v>
      </c>
      <c r="J13">
        <v>3422.0693372492242</v>
      </c>
      <c r="K13">
        <v>8318.7148477975279</v>
      </c>
      <c r="L13" s="2">
        <v>45928</v>
      </c>
      <c r="M13" t="s">
        <v>61</v>
      </c>
      <c r="N13">
        <v>74</v>
      </c>
      <c r="O13" t="b">
        <v>1</v>
      </c>
      <c r="P13" s="3">
        <v>44736</v>
      </c>
      <c r="Q13">
        <v>508609.09</v>
      </c>
      <c r="R13" t="str">
        <f t="shared" ca="1" si="0"/>
        <v>25/03</v>
      </c>
    </row>
    <row r="14" spans="1:18" x14ac:dyDescent="0.3">
      <c r="A14" t="s">
        <v>62</v>
      </c>
      <c r="B14" t="s">
        <v>38</v>
      </c>
      <c r="C14" t="s">
        <v>24</v>
      </c>
      <c r="D14" s="2">
        <v>45862</v>
      </c>
      <c r="E14">
        <v>2275.48</v>
      </c>
      <c r="F14" t="s">
        <v>24</v>
      </c>
      <c r="G14" t="s">
        <v>25</v>
      </c>
      <c r="H14" t="s">
        <v>63</v>
      </c>
      <c r="I14">
        <v>1136.2289454395179</v>
      </c>
      <c r="J14">
        <v>3387.0436181658938</v>
      </c>
      <c r="K14">
        <v>5372.6085706467284</v>
      </c>
      <c r="L14" s="2">
        <v>45878</v>
      </c>
      <c r="M14" t="s">
        <v>64</v>
      </c>
      <c r="N14">
        <v>23</v>
      </c>
      <c r="O14" t="b">
        <v>0</v>
      </c>
      <c r="P14" s="3">
        <v>44446</v>
      </c>
      <c r="Q14">
        <v>87670.03</v>
      </c>
      <c r="R14" t="str">
        <f t="shared" ca="1" si="0"/>
        <v>29/06</v>
      </c>
    </row>
    <row r="15" spans="1:18" x14ac:dyDescent="0.3">
      <c r="A15" t="s">
        <v>65</v>
      </c>
      <c r="B15" t="s">
        <v>34</v>
      </c>
      <c r="C15" t="s">
        <v>66</v>
      </c>
      <c r="D15" s="2">
        <v>44740</v>
      </c>
      <c r="E15">
        <v>10000</v>
      </c>
      <c r="F15" t="s">
        <v>66</v>
      </c>
      <c r="G15" t="s">
        <v>67</v>
      </c>
      <c r="H15" t="s">
        <v>57</v>
      </c>
      <c r="I15">
        <v>10000</v>
      </c>
      <c r="J15">
        <v>10000</v>
      </c>
      <c r="K15">
        <v>10000</v>
      </c>
      <c r="L15" s="2">
        <v>44770</v>
      </c>
      <c r="M15" t="s">
        <v>57</v>
      </c>
      <c r="N15">
        <v>1</v>
      </c>
      <c r="O15" t="b">
        <v>0</v>
      </c>
      <c r="P15" s="3">
        <v>44740</v>
      </c>
      <c r="Q15">
        <v>10000</v>
      </c>
      <c r="R15" t="str">
        <f t="shared" ca="1" si="0"/>
        <v>28/08</v>
      </c>
    </row>
    <row r="16" spans="1:18" x14ac:dyDescent="0.3">
      <c r="A16" t="s">
        <v>68</v>
      </c>
      <c r="B16" t="s">
        <v>38</v>
      </c>
      <c r="C16" t="s">
        <v>24</v>
      </c>
      <c r="D16" s="2">
        <v>45831</v>
      </c>
      <c r="E16">
        <v>32273.54</v>
      </c>
      <c r="F16" t="s">
        <v>24</v>
      </c>
      <c r="G16" t="s">
        <v>25</v>
      </c>
      <c r="H16" t="s">
        <v>69</v>
      </c>
      <c r="I16">
        <v>11194.29746836105</v>
      </c>
      <c r="J16">
        <v>20846.614308265889</v>
      </c>
      <c r="K16">
        <v>48961.562854913667</v>
      </c>
      <c r="L16" s="2">
        <v>45856</v>
      </c>
      <c r="M16" t="s">
        <v>70</v>
      </c>
      <c r="N16">
        <v>25</v>
      </c>
      <c r="O16" t="b">
        <v>0</v>
      </c>
      <c r="P16" s="3">
        <v>44755</v>
      </c>
      <c r="Q16">
        <v>695538.86</v>
      </c>
      <c r="R16" t="str">
        <f t="shared" ca="1" si="0"/>
        <v>17/03</v>
      </c>
    </row>
    <row r="17" spans="1:18" x14ac:dyDescent="0.3">
      <c r="A17" t="s">
        <v>71</v>
      </c>
      <c r="B17" t="s">
        <v>34</v>
      </c>
      <c r="C17" t="s">
        <v>29</v>
      </c>
      <c r="D17" s="2">
        <v>44776</v>
      </c>
      <c r="E17">
        <v>20000</v>
      </c>
      <c r="F17" t="s">
        <v>29</v>
      </c>
      <c r="G17" t="s">
        <v>39</v>
      </c>
      <c r="H17" t="s">
        <v>72</v>
      </c>
      <c r="I17">
        <v>20000</v>
      </c>
      <c r="J17">
        <v>20000</v>
      </c>
      <c r="K17">
        <v>20000</v>
      </c>
      <c r="L17" s="2">
        <v>44806</v>
      </c>
      <c r="M17" t="s">
        <v>72</v>
      </c>
      <c r="N17">
        <v>1</v>
      </c>
      <c r="O17" t="b">
        <v>0</v>
      </c>
      <c r="P17" s="3">
        <v>44776</v>
      </c>
      <c r="Q17">
        <v>20000</v>
      </c>
      <c r="R17" t="str">
        <f t="shared" ca="1" si="0"/>
        <v>09/07</v>
      </c>
    </row>
    <row r="18" spans="1:18" x14ac:dyDescent="0.3">
      <c r="A18" t="s">
        <v>73</v>
      </c>
      <c r="B18" t="s">
        <v>18</v>
      </c>
      <c r="C18" t="s">
        <v>46</v>
      </c>
      <c r="D18" s="2">
        <v>44791</v>
      </c>
      <c r="E18">
        <v>112491.15</v>
      </c>
      <c r="F18" t="s">
        <v>46</v>
      </c>
      <c r="G18" t="s">
        <v>47</v>
      </c>
      <c r="H18" t="s">
        <v>74</v>
      </c>
      <c r="I18">
        <v>18773.078941165149</v>
      </c>
      <c r="J18">
        <v>43034.606287889233</v>
      </c>
      <c r="K18">
        <v>86953.411544465125</v>
      </c>
      <c r="L18" s="2">
        <v>44791</v>
      </c>
      <c r="M18" t="s">
        <v>75</v>
      </c>
      <c r="N18">
        <v>10</v>
      </c>
      <c r="O18" t="b">
        <v>0</v>
      </c>
      <c r="P18" s="3">
        <v>44789</v>
      </c>
      <c r="Q18">
        <v>463703.75</v>
      </c>
      <c r="R18" t="str">
        <f t="shared" ca="1" si="0"/>
        <v>14/04</v>
      </c>
    </row>
    <row r="19" spans="1:18" x14ac:dyDescent="0.3">
      <c r="A19" t="s">
        <v>76</v>
      </c>
      <c r="B19" t="s">
        <v>18</v>
      </c>
      <c r="C19" t="s">
        <v>24</v>
      </c>
      <c r="D19" s="2">
        <v>45491</v>
      </c>
      <c r="E19">
        <v>8612.86</v>
      </c>
      <c r="F19" t="s">
        <v>24</v>
      </c>
      <c r="G19" t="s">
        <v>25</v>
      </c>
      <c r="H19" t="s">
        <v>77</v>
      </c>
      <c r="I19">
        <v>8626.5616959641338</v>
      </c>
      <c r="J19">
        <v>28683.842390789221</v>
      </c>
      <c r="K19">
        <v>43208.166971307714</v>
      </c>
      <c r="L19" s="2">
        <v>45498</v>
      </c>
      <c r="M19" t="s">
        <v>78</v>
      </c>
      <c r="N19">
        <v>34</v>
      </c>
      <c r="O19" t="b">
        <v>0</v>
      </c>
      <c r="P19" s="3">
        <v>44802</v>
      </c>
      <c r="Q19">
        <v>838905.31</v>
      </c>
      <c r="R19" t="str">
        <f t="shared" ca="1" si="0"/>
        <v>21/12</v>
      </c>
    </row>
    <row r="20" spans="1:18" x14ac:dyDescent="0.3">
      <c r="A20" t="s">
        <v>79</v>
      </c>
      <c r="B20" t="s">
        <v>34</v>
      </c>
      <c r="C20" t="s">
        <v>46</v>
      </c>
      <c r="D20" s="2">
        <v>44840</v>
      </c>
      <c r="E20">
        <v>49878.5</v>
      </c>
      <c r="F20" t="s">
        <v>46</v>
      </c>
      <c r="G20" t="s">
        <v>47</v>
      </c>
      <c r="H20" t="s">
        <v>80</v>
      </c>
      <c r="I20">
        <v>49878.5</v>
      </c>
      <c r="J20">
        <v>49878.5</v>
      </c>
      <c r="K20">
        <v>49878.5</v>
      </c>
      <c r="L20" s="2">
        <v>44870</v>
      </c>
      <c r="M20" t="s">
        <v>80</v>
      </c>
      <c r="N20">
        <v>1</v>
      </c>
      <c r="O20" t="b">
        <v>0</v>
      </c>
      <c r="P20" s="3">
        <v>44840</v>
      </c>
      <c r="Q20">
        <v>49878.5</v>
      </c>
      <c r="R20" t="str">
        <f t="shared" ca="1" si="0"/>
        <v>17/12</v>
      </c>
    </row>
    <row r="21" spans="1:18" x14ac:dyDescent="0.3">
      <c r="A21" t="s">
        <v>81</v>
      </c>
      <c r="B21" t="s">
        <v>34</v>
      </c>
      <c r="C21" t="s">
        <v>19</v>
      </c>
      <c r="D21" s="2">
        <v>44846</v>
      </c>
      <c r="E21">
        <v>9989.2900000000009</v>
      </c>
      <c r="F21" t="s">
        <v>29</v>
      </c>
      <c r="G21" t="s">
        <v>35</v>
      </c>
      <c r="H21" t="s">
        <v>82</v>
      </c>
      <c r="I21">
        <v>9989.2900000000009</v>
      </c>
      <c r="J21">
        <v>9989.2900000000009</v>
      </c>
      <c r="K21">
        <v>9989.2900000000009</v>
      </c>
      <c r="L21" s="2">
        <v>44876</v>
      </c>
      <c r="M21" t="s">
        <v>82</v>
      </c>
      <c r="N21">
        <v>1</v>
      </c>
      <c r="O21" t="b">
        <v>0</v>
      </c>
      <c r="P21" s="3">
        <v>44846</v>
      </c>
      <c r="Q21">
        <v>9989.2900000000009</v>
      </c>
      <c r="R21" t="str">
        <f t="shared" ca="1" si="0"/>
        <v>30/01</v>
      </c>
    </row>
    <row r="22" spans="1:18" x14ac:dyDescent="0.3">
      <c r="A22" t="s">
        <v>83</v>
      </c>
      <c r="B22" t="s">
        <v>18</v>
      </c>
      <c r="C22" t="s">
        <v>66</v>
      </c>
      <c r="D22" s="2">
        <v>44860</v>
      </c>
      <c r="E22">
        <v>30000</v>
      </c>
      <c r="F22" t="s">
        <v>66</v>
      </c>
      <c r="G22" t="s">
        <v>67</v>
      </c>
      <c r="H22" t="s">
        <v>84</v>
      </c>
      <c r="I22">
        <v>10833.41455241957</v>
      </c>
      <c r="J22">
        <v>30000</v>
      </c>
      <c r="K22">
        <v>46149.359088713943</v>
      </c>
      <c r="L22" s="2">
        <v>44860</v>
      </c>
      <c r="M22" t="s">
        <v>84</v>
      </c>
      <c r="N22">
        <v>2</v>
      </c>
      <c r="O22" t="b">
        <v>0</v>
      </c>
      <c r="P22" s="3">
        <v>44860</v>
      </c>
      <c r="Q22">
        <v>60000</v>
      </c>
      <c r="R22" t="str">
        <f t="shared" ca="1" si="0"/>
        <v>23/05</v>
      </c>
    </row>
    <row r="23" spans="1:18" x14ac:dyDescent="0.3">
      <c r="A23" t="s">
        <v>85</v>
      </c>
      <c r="B23" t="s">
        <v>86</v>
      </c>
      <c r="C23" t="s">
        <v>66</v>
      </c>
      <c r="D23" s="2">
        <v>45831</v>
      </c>
      <c r="E23">
        <v>937000</v>
      </c>
      <c r="F23" t="s">
        <v>66</v>
      </c>
      <c r="G23" t="s">
        <v>67</v>
      </c>
      <c r="H23" t="s">
        <v>87</v>
      </c>
      <c r="I23">
        <v>937000</v>
      </c>
      <c r="J23">
        <v>937000</v>
      </c>
      <c r="K23">
        <v>937000</v>
      </c>
      <c r="L23" s="2">
        <v>46316</v>
      </c>
      <c r="M23" t="s">
        <v>88</v>
      </c>
      <c r="N23">
        <v>3</v>
      </c>
      <c r="O23" t="b">
        <v>0</v>
      </c>
      <c r="P23" s="3">
        <v>44861</v>
      </c>
      <c r="Q23">
        <v>2461496</v>
      </c>
      <c r="R23" t="str">
        <f t="shared" ca="1" si="0"/>
        <v>12/02</v>
      </c>
    </row>
    <row r="24" spans="1:18" x14ac:dyDescent="0.3">
      <c r="A24" t="s">
        <v>89</v>
      </c>
      <c r="B24" t="s">
        <v>18</v>
      </c>
      <c r="C24" t="s">
        <v>24</v>
      </c>
      <c r="D24" s="2">
        <v>45315</v>
      </c>
      <c r="E24">
        <v>10184.89</v>
      </c>
      <c r="F24" t="s">
        <v>24</v>
      </c>
      <c r="G24" t="s">
        <v>25</v>
      </c>
      <c r="H24" t="s">
        <v>90</v>
      </c>
      <c r="I24">
        <v>5142.9639331982307</v>
      </c>
      <c r="J24">
        <v>10180.778810789219</v>
      </c>
      <c r="K24">
        <v>21634.659116242139</v>
      </c>
      <c r="L24" s="2">
        <v>45328</v>
      </c>
      <c r="M24" t="s">
        <v>91</v>
      </c>
      <c r="N24">
        <v>21</v>
      </c>
      <c r="O24" t="b">
        <v>0</v>
      </c>
      <c r="P24" s="3">
        <v>44872</v>
      </c>
      <c r="Q24">
        <v>207963.36</v>
      </c>
      <c r="R24" t="str">
        <f t="shared" ca="1" si="0"/>
        <v>04/02</v>
      </c>
    </row>
    <row r="25" spans="1:18" x14ac:dyDescent="0.3">
      <c r="A25" t="s">
        <v>92</v>
      </c>
      <c r="B25" t="s">
        <v>38</v>
      </c>
      <c r="C25" t="s">
        <v>24</v>
      </c>
      <c r="D25" s="2">
        <v>45775</v>
      </c>
      <c r="E25">
        <v>31673.279999999999</v>
      </c>
      <c r="F25" t="s">
        <v>24</v>
      </c>
      <c r="G25" t="s">
        <v>25</v>
      </c>
      <c r="H25" t="s">
        <v>93</v>
      </c>
      <c r="I25">
        <v>6008.4348946921637</v>
      </c>
      <c r="J25">
        <v>15586.50930826589</v>
      </c>
      <c r="K25">
        <v>46056.530243369038</v>
      </c>
      <c r="L25" s="2">
        <v>45788</v>
      </c>
      <c r="M25" t="s">
        <v>94</v>
      </c>
      <c r="N25">
        <v>28</v>
      </c>
      <c r="O25" t="b">
        <v>0</v>
      </c>
      <c r="P25" s="3">
        <v>44446</v>
      </c>
      <c r="Q25">
        <v>717129.17999999993</v>
      </c>
      <c r="R25" t="str">
        <f t="shared" ca="1" si="0"/>
        <v>24/12</v>
      </c>
    </row>
    <row r="26" spans="1:18" x14ac:dyDescent="0.3">
      <c r="A26" t="s">
        <v>95</v>
      </c>
      <c r="B26" t="s">
        <v>18</v>
      </c>
      <c r="C26" t="s">
        <v>66</v>
      </c>
      <c r="D26" s="2">
        <v>45902</v>
      </c>
      <c r="E26">
        <v>172</v>
      </c>
      <c r="F26" t="s">
        <v>66</v>
      </c>
      <c r="G26" t="s">
        <v>67</v>
      </c>
      <c r="H26" t="s">
        <v>96</v>
      </c>
      <c r="I26">
        <v>418.23287101845409</v>
      </c>
      <c r="J26">
        <v>998.30158019287683</v>
      </c>
      <c r="K26">
        <v>8098.8580548084537</v>
      </c>
      <c r="L26" s="2">
        <v>45907</v>
      </c>
      <c r="M26" t="s">
        <v>97</v>
      </c>
      <c r="N26">
        <v>92</v>
      </c>
      <c r="O26" t="b">
        <v>1</v>
      </c>
      <c r="P26" s="3">
        <v>44960</v>
      </c>
      <c r="Q26">
        <v>239979.17</v>
      </c>
      <c r="R26" t="str">
        <f t="shared" ca="1" si="0"/>
        <v>09/12</v>
      </c>
    </row>
    <row r="27" spans="1:18" x14ac:dyDescent="0.3">
      <c r="A27" t="s">
        <v>98</v>
      </c>
      <c r="B27" t="s">
        <v>18</v>
      </c>
      <c r="C27" t="s">
        <v>66</v>
      </c>
      <c r="D27" s="2">
        <v>44964</v>
      </c>
      <c r="E27">
        <v>60000</v>
      </c>
      <c r="F27" t="s">
        <v>66</v>
      </c>
      <c r="G27" t="s">
        <v>67</v>
      </c>
      <c r="H27" t="s">
        <v>99</v>
      </c>
      <c r="I27">
        <v>6315.8843786047664</v>
      </c>
      <c r="J27">
        <v>11248.30158019288</v>
      </c>
      <c r="K27">
        <v>30622.955323370541</v>
      </c>
      <c r="L27" s="2">
        <v>44964</v>
      </c>
      <c r="M27" t="s">
        <v>100</v>
      </c>
      <c r="N27">
        <v>11</v>
      </c>
      <c r="O27" t="b">
        <v>0</v>
      </c>
      <c r="P27" s="3">
        <v>44963</v>
      </c>
      <c r="Q27">
        <v>210000</v>
      </c>
      <c r="R27" t="str">
        <f t="shared" ca="1" si="0"/>
        <v>10/03</v>
      </c>
    </row>
    <row r="28" spans="1:18" x14ac:dyDescent="0.3">
      <c r="A28" t="s">
        <v>101</v>
      </c>
      <c r="B28" t="s">
        <v>18</v>
      </c>
      <c r="C28" t="s">
        <v>19</v>
      </c>
      <c r="D28" s="2">
        <v>45728</v>
      </c>
      <c r="E28">
        <v>9887.69</v>
      </c>
      <c r="F28" t="s">
        <v>19</v>
      </c>
      <c r="G28" t="s">
        <v>20</v>
      </c>
      <c r="H28" t="s">
        <v>102</v>
      </c>
      <c r="I28">
        <v>5992.0951903181813</v>
      </c>
      <c r="J28">
        <v>13866.928810789221</v>
      </c>
      <c r="K28">
        <v>28824.02598836293</v>
      </c>
      <c r="L28" s="2">
        <v>45739</v>
      </c>
      <c r="M28" t="s">
        <v>103</v>
      </c>
      <c r="N28">
        <v>15</v>
      </c>
      <c r="O28" t="b">
        <v>0</v>
      </c>
      <c r="P28" s="3">
        <v>44999</v>
      </c>
      <c r="Q28">
        <v>263850.36</v>
      </c>
      <c r="R28" t="str">
        <f t="shared" ca="1" si="0"/>
        <v>20/11</v>
      </c>
    </row>
    <row r="29" spans="1:18" x14ac:dyDescent="0.3">
      <c r="A29" t="s">
        <v>104</v>
      </c>
      <c r="B29" t="s">
        <v>18</v>
      </c>
      <c r="C29" t="s">
        <v>66</v>
      </c>
      <c r="D29" s="2">
        <v>44981</v>
      </c>
      <c r="E29">
        <v>100000</v>
      </c>
      <c r="F29" t="s">
        <v>66</v>
      </c>
      <c r="G29" t="s">
        <v>67</v>
      </c>
      <c r="H29" t="s">
        <v>105</v>
      </c>
      <c r="I29">
        <v>64095.503979245179</v>
      </c>
      <c r="J29">
        <v>109918.186875</v>
      </c>
      <c r="K29">
        <v>183130.49837245591</v>
      </c>
      <c r="L29" s="2">
        <v>44981</v>
      </c>
      <c r="M29" t="s">
        <v>106</v>
      </c>
      <c r="N29">
        <v>2</v>
      </c>
      <c r="O29" t="b">
        <v>0</v>
      </c>
      <c r="P29" s="3">
        <v>44981</v>
      </c>
      <c r="Q29">
        <v>220000</v>
      </c>
      <c r="R29" t="str">
        <f t="shared" ca="1" si="0"/>
        <v>13/07</v>
      </c>
    </row>
    <row r="30" spans="1:18" x14ac:dyDescent="0.3">
      <c r="A30" t="s">
        <v>107</v>
      </c>
      <c r="B30" t="s">
        <v>34</v>
      </c>
      <c r="C30" t="s">
        <v>29</v>
      </c>
      <c r="D30" s="2">
        <v>44988</v>
      </c>
      <c r="E30">
        <v>1258.67</v>
      </c>
      <c r="F30" t="s">
        <v>29</v>
      </c>
      <c r="G30" t="s">
        <v>39</v>
      </c>
      <c r="H30" t="s">
        <v>108</v>
      </c>
      <c r="I30">
        <v>1258.67</v>
      </c>
      <c r="J30">
        <v>1258.67</v>
      </c>
      <c r="K30">
        <v>1258.67</v>
      </c>
      <c r="L30" s="2">
        <v>45018</v>
      </c>
      <c r="M30" t="s">
        <v>108</v>
      </c>
      <c r="N30">
        <v>1</v>
      </c>
      <c r="O30" t="b">
        <v>0</v>
      </c>
      <c r="P30" s="3">
        <v>44988</v>
      </c>
      <c r="Q30">
        <v>1258.67</v>
      </c>
      <c r="R30" t="str">
        <f t="shared" ca="1" si="0"/>
        <v>16/07</v>
      </c>
    </row>
    <row r="31" spans="1:18" x14ac:dyDescent="0.3">
      <c r="A31" t="s">
        <v>109</v>
      </c>
      <c r="B31" t="s">
        <v>34</v>
      </c>
      <c r="C31" t="s">
        <v>19</v>
      </c>
      <c r="D31" s="2">
        <v>45019</v>
      </c>
      <c r="E31">
        <v>9491.9</v>
      </c>
      <c r="F31" t="s">
        <v>29</v>
      </c>
      <c r="G31" t="s">
        <v>35</v>
      </c>
      <c r="H31" t="s">
        <v>110</v>
      </c>
      <c r="I31">
        <v>9491.9</v>
      </c>
      <c r="J31">
        <v>9491.9</v>
      </c>
      <c r="K31">
        <v>9491.9</v>
      </c>
      <c r="L31" s="2">
        <v>45049</v>
      </c>
      <c r="M31" t="s">
        <v>110</v>
      </c>
      <c r="N31">
        <v>1</v>
      </c>
      <c r="O31" t="b">
        <v>0</v>
      </c>
      <c r="P31" s="3">
        <v>45019</v>
      </c>
      <c r="Q31">
        <v>9491.9</v>
      </c>
      <c r="R31" t="str">
        <f t="shared" ca="1" si="0"/>
        <v>13/10</v>
      </c>
    </row>
    <row r="32" spans="1:18" x14ac:dyDescent="0.3">
      <c r="A32" t="s">
        <v>111</v>
      </c>
      <c r="B32" t="s">
        <v>18</v>
      </c>
      <c r="C32" t="s">
        <v>29</v>
      </c>
      <c r="D32" s="2">
        <v>45581</v>
      </c>
      <c r="E32">
        <v>80523.740000000005</v>
      </c>
      <c r="F32" t="s">
        <v>29</v>
      </c>
      <c r="G32" t="s">
        <v>39</v>
      </c>
      <c r="H32" t="s">
        <v>112</v>
      </c>
      <c r="I32">
        <v>53313.656697425511</v>
      </c>
      <c r="J32">
        <v>80261.87</v>
      </c>
      <c r="K32">
        <v>152014.10680974359</v>
      </c>
      <c r="L32" s="2">
        <v>45724</v>
      </c>
      <c r="M32" t="s">
        <v>113</v>
      </c>
      <c r="N32">
        <v>5</v>
      </c>
      <c r="O32" t="b">
        <v>0</v>
      </c>
      <c r="P32" s="3">
        <v>45030</v>
      </c>
      <c r="Q32">
        <v>353564.8</v>
      </c>
      <c r="R32" t="str">
        <f t="shared" ca="1" si="0"/>
        <v>06/08</v>
      </c>
    </row>
    <row r="33" spans="1:18" x14ac:dyDescent="0.3">
      <c r="A33" t="s">
        <v>114</v>
      </c>
      <c r="B33" t="s">
        <v>18</v>
      </c>
      <c r="C33" t="s">
        <v>24</v>
      </c>
      <c r="D33" s="2">
        <v>45054</v>
      </c>
      <c r="E33">
        <v>1236.55</v>
      </c>
      <c r="F33" t="s">
        <v>24</v>
      </c>
      <c r="G33" t="s">
        <v>25</v>
      </c>
      <c r="H33" t="s">
        <v>115</v>
      </c>
      <c r="I33">
        <v>608.69346087975305</v>
      </c>
      <c r="J33">
        <v>735.33</v>
      </c>
      <c r="K33">
        <v>1171.414855721076</v>
      </c>
      <c r="L33" s="2">
        <v>45060</v>
      </c>
      <c r="M33" t="s">
        <v>116</v>
      </c>
      <c r="N33">
        <v>3</v>
      </c>
      <c r="O33" t="b">
        <v>0</v>
      </c>
      <c r="P33" s="3">
        <v>45042</v>
      </c>
      <c r="Q33">
        <v>2557.15</v>
      </c>
      <c r="R33" t="str">
        <f t="shared" ca="1" si="0"/>
        <v>29/11</v>
      </c>
    </row>
    <row r="34" spans="1:18" x14ac:dyDescent="0.3">
      <c r="A34" t="s">
        <v>117</v>
      </c>
      <c r="B34" t="s">
        <v>34</v>
      </c>
      <c r="C34" t="s">
        <v>66</v>
      </c>
      <c r="D34" s="2">
        <v>45048</v>
      </c>
      <c r="E34">
        <v>80000</v>
      </c>
      <c r="F34" t="s">
        <v>66</v>
      </c>
      <c r="G34" t="s">
        <v>67</v>
      </c>
      <c r="H34" t="s">
        <v>118</v>
      </c>
      <c r="I34">
        <v>80000</v>
      </c>
      <c r="J34">
        <v>80000</v>
      </c>
      <c r="K34">
        <v>80000</v>
      </c>
      <c r="L34" s="2">
        <v>45078</v>
      </c>
      <c r="M34" t="s">
        <v>118</v>
      </c>
      <c r="N34">
        <v>1</v>
      </c>
      <c r="O34" t="b">
        <v>0</v>
      </c>
      <c r="P34" s="3">
        <v>45048</v>
      </c>
      <c r="Q34">
        <v>80000</v>
      </c>
      <c r="R34" t="str">
        <f t="shared" ca="1" si="0"/>
        <v>11/02</v>
      </c>
    </row>
    <row r="35" spans="1:18" x14ac:dyDescent="0.3">
      <c r="A35" t="s">
        <v>119</v>
      </c>
      <c r="B35" t="s">
        <v>18</v>
      </c>
      <c r="C35" t="s">
        <v>24</v>
      </c>
      <c r="D35" s="2">
        <v>45036</v>
      </c>
      <c r="E35">
        <v>457.22</v>
      </c>
      <c r="F35" t="s">
        <v>24</v>
      </c>
      <c r="G35" t="s">
        <v>25</v>
      </c>
      <c r="H35" t="s">
        <v>120</v>
      </c>
      <c r="I35">
        <v>104.36531205036751</v>
      </c>
      <c r="J35">
        <v>354.96499999999997</v>
      </c>
      <c r="K35">
        <v>456.03977688162121</v>
      </c>
      <c r="L35" s="2">
        <v>45073</v>
      </c>
      <c r="M35" t="s">
        <v>120</v>
      </c>
      <c r="N35">
        <v>2</v>
      </c>
      <c r="O35" t="b">
        <v>0</v>
      </c>
      <c r="P35" s="3">
        <v>44999</v>
      </c>
      <c r="Q35">
        <v>709.93000000000006</v>
      </c>
      <c r="R35" t="str">
        <f t="shared" ca="1" si="0"/>
        <v>10/02</v>
      </c>
    </row>
    <row r="36" spans="1:18" x14ac:dyDescent="0.3">
      <c r="A36" t="s">
        <v>121</v>
      </c>
      <c r="B36" t="s">
        <v>18</v>
      </c>
      <c r="C36" t="s">
        <v>24</v>
      </c>
      <c r="D36" s="2">
        <v>45916</v>
      </c>
      <c r="E36">
        <v>7847.19</v>
      </c>
      <c r="F36" t="s">
        <v>24</v>
      </c>
      <c r="G36" t="s">
        <v>25</v>
      </c>
      <c r="H36" t="s">
        <v>122</v>
      </c>
      <c r="I36">
        <v>1608.28225754549</v>
      </c>
      <c r="J36">
        <v>3571.778795592877</v>
      </c>
      <c r="K36">
        <v>9621.1352940476609</v>
      </c>
      <c r="L36" s="2">
        <v>45920</v>
      </c>
      <c r="M36" t="s">
        <v>123</v>
      </c>
      <c r="N36">
        <v>101</v>
      </c>
      <c r="O36" t="b">
        <v>1</v>
      </c>
      <c r="P36" s="3">
        <v>45064</v>
      </c>
      <c r="Q36">
        <v>546296.75678568706</v>
      </c>
      <c r="R36" t="str">
        <f t="shared" ca="1" si="0"/>
        <v>10/02</v>
      </c>
    </row>
    <row r="37" spans="1:18" x14ac:dyDescent="0.3">
      <c r="A37" t="s">
        <v>124</v>
      </c>
      <c r="B37" t="s">
        <v>34</v>
      </c>
      <c r="C37" t="s">
        <v>29</v>
      </c>
      <c r="D37" s="2">
        <v>45065</v>
      </c>
      <c r="E37">
        <v>600</v>
      </c>
      <c r="F37" t="s">
        <v>29</v>
      </c>
      <c r="G37" t="s">
        <v>39</v>
      </c>
      <c r="H37" t="s">
        <v>125</v>
      </c>
      <c r="I37">
        <v>600</v>
      </c>
      <c r="J37">
        <v>600</v>
      </c>
      <c r="K37">
        <v>600</v>
      </c>
      <c r="L37" s="2">
        <v>45095</v>
      </c>
      <c r="M37" t="s">
        <v>125</v>
      </c>
      <c r="N37">
        <v>1</v>
      </c>
      <c r="O37" t="b">
        <v>0</v>
      </c>
      <c r="P37" s="3">
        <v>45065</v>
      </c>
      <c r="Q37">
        <v>600</v>
      </c>
      <c r="R37" t="str">
        <f t="shared" ca="1" si="0"/>
        <v>13/07</v>
      </c>
    </row>
    <row r="38" spans="1:18" x14ac:dyDescent="0.3">
      <c r="A38" t="s">
        <v>126</v>
      </c>
      <c r="B38" t="s">
        <v>18</v>
      </c>
      <c r="C38" t="s">
        <v>19</v>
      </c>
      <c r="D38" s="2">
        <v>45911</v>
      </c>
      <c r="E38">
        <v>105932.1</v>
      </c>
      <c r="F38" t="s">
        <v>19</v>
      </c>
      <c r="G38" t="s">
        <v>20</v>
      </c>
      <c r="H38" t="s">
        <v>127</v>
      </c>
      <c r="I38">
        <v>67061.347856032517</v>
      </c>
      <c r="J38">
        <v>177724.91130328921</v>
      </c>
      <c r="K38">
        <v>615414.38562712283</v>
      </c>
      <c r="L38" s="2">
        <v>45914</v>
      </c>
      <c r="M38" t="s">
        <v>128</v>
      </c>
      <c r="N38">
        <v>19</v>
      </c>
      <c r="O38" t="b">
        <v>0</v>
      </c>
      <c r="P38" s="3">
        <v>45086</v>
      </c>
      <c r="Q38">
        <v>4960454.22</v>
      </c>
      <c r="R38" t="str">
        <f t="shared" ca="1" si="0"/>
        <v>21/08</v>
      </c>
    </row>
    <row r="39" spans="1:18" x14ac:dyDescent="0.3">
      <c r="A39" t="s">
        <v>129</v>
      </c>
      <c r="B39" t="s">
        <v>38</v>
      </c>
      <c r="C39" t="s">
        <v>19</v>
      </c>
      <c r="D39" s="2">
        <v>45790</v>
      </c>
      <c r="E39">
        <v>1087.7</v>
      </c>
      <c r="F39" t="s">
        <v>24</v>
      </c>
      <c r="G39" t="s">
        <v>130</v>
      </c>
      <c r="H39" t="s">
        <v>131</v>
      </c>
      <c r="I39">
        <v>253.4063095114002</v>
      </c>
      <c r="J39">
        <v>1157.1199999999999</v>
      </c>
      <c r="K39">
        <v>3422.4093912858389</v>
      </c>
      <c r="L39" s="2">
        <v>45810</v>
      </c>
      <c r="M39" t="s">
        <v>132</v>
      </c>
      <c r="N39">
        <v>4</v>
      </c>
      <c r="O39" t="b">
        <v>0</v>
      </c>
      <c r="P39" s="3">
        <v>45097</v>
      </c>
      <c r="Q39">
        <v>5021.13</v>
      </c>
      <c r="R39" t="str">
        <f t="shared" ca="1" si="0"/>
        <v>02/09</v>
      </c>
    </row>
    <row r="40" spans="1:18" x14ac:dyDescent="0.3">
      <c r="A40" t="s">
        <v>133</v>
      </c>
      <c r="B40" t="s">
        <v>18</v>
      </c>
      <c r="C40" t="s">
        <v>29</v>
      </c>
      <c r="D40" s="2">
        <v>45723</v>
      </c>
      <c r="E40">
        <v>30000</v>
      </c>
      <c r="F40" t="s">
        <v>29</v>
      </c>
      <c r="G40" t="s">
        <v>39</v>
      </c>
      <c r="H40" t="s">
        <v>134</v>
      </c>
      <c r="I40">
        <v>6806.1776835088713</v>
      </c>
      <c r="J40">
        <v>12045</v>
      </c>
      <c r="K40">
        <v>37122.327345156024</v>
      </c>
      <c r="L40" s="2">
        <v>45723</v>
      </c>
      <c r="M40" t="s">
        <v>135</v>
      </c>
      <c r="N40">
        <v>7</v>
      </c>
      <c r="O40" t="b">
        <v>0</v>
      </c>
      <c r="P40" s="3">
        <v>45118</v>
      </c>
      <c r="Q40">
        <v>190000</v>
      </c>
      <c r="R40" t="str">
        <f t="shared" ca="1" si="0"/>
        <v>23/05</v>
      </c>
    </row>
    <row r="41" spans="1:18" x14ac:dyDescent="0.3">
      <c r="A41" t="s">
        <v>136</v>
      </c>
      <c r="B41" t="s">
        <v>18</v>
      </c>
      <c r="C41" t="s">
        <v>66</v>
      </c>
      <c r="D41" s="2">
        <v>45771</v>
      </c>
      <c r="E41">
        <v>200000</v>
      </c>
      <c r="F41" t="s">
        <v>66</v>
      </c>
      <c r="G41" t="s">
        <v>67</v>
      </c>
      <c r="H41" t="s">
        <v>137</v>
      </c>
      <c r="I41">
        <v>63060.565809225387</v>
      </c>
      <c r="J41">
        <v>121575.88187500001</v>
      </c>
      <c r="K41">
        <v>439507.96693903912</v>
      </c>
      <c r="L41" s="2">
        <v>45844</v>
      </c>
      <c r="M41" t="s">
        <v>138</v>
      </c>
      <c r="N41">
        <v>6</v>
      </c>
      <c r="O41" t="b">
        <v>0</v>
      </c>
      <c r="P41" s="3">
        <v>45341</v>
      </c>
      <c r="Q41">
        <v>959233.37</v>
      </c>
      <c r="R41" t="str">
        <f t="shared" ca="1" si="0"/>
        <v>30/05</v>
      </c>
    </row>
    <row r="42" spans="1:18" x14ac:dyDescent="0.3">
      <c r="A42" t="s">
        <v>139</v>
      </c>
      <c r="B42" t="s">
        <v>18</v>
      </c>
      <c r="C42" t="s">
        <v>24</v>
      </c>
      <c r="D42" s="2">
        <v>45923</v>
      </c>
      <c r="E42">
        <v>94603.77</v>
      </c>
      <c r="F42" t="s">
        <v>24</v>
      </c>
      <c r="G42" t="s">
        <v>25</v>
      </c>
      <c r="H42" t="s">
        <v>140</v>
      </c>
      <c r="I42">
        <v>10777.5701720983</v>
      </c>
      <c r="J42">
        <v>33054.300108092873</v>
      </c>
      <c r="K42">
        <v>57883.748910883711</v>
      </c>
      <c r="L42" s="2">
        <v>45926</v>
      </c>
      <c r="M42" t="s">
        <v>141</v>
      </c>
      <c r="N42">
        <v>103</v>
      </c>
      <c r="O42" t="b">
        <v>1</v>
      </c>
      <c r="P42" s="3">
        <v>45125</v>
      </c>
      <c r="Q42">
        <v>4306277.62</v>
      </c>
      <c r="R42" t="str">
        <f t="shared" ca="1" si="0"/>
        <v>27/11</v>
      </c>
    </row>
    <row r="43" spans="1:18" x14ac:dyDescent="0.3">
      <c r="A43" t="s">
        <v>142</v>
      </c>
      <c r="B43" t="s">
        <v>18</v>
      </c>
      <c r="C43" t="s">
        <v>24</v>
      </c>
      <c r="D43" s="2">
        <v>45922</v>
      </c>
      <c r="E43">
        <v>1190.49</v>
      </c>
      <c r="F43" t="s">
        <v>24</v>
      </c>
      <c r="G43" t="s">
        <v>25</v>
      </c>
      <c r="H43" t="s">
        <v>143</v>
      </c>
      <c r="I43">
        <v>325.10562134587758</v>
      </c>
      <c r="J43">
        <v>1955.0422955928771</v>
      </c>
      <c r="K43">
        <v>7749.7273498347386</v>
      </c>
      <c r="L43" s="2">
        <v>45928</v>
      </c>
      <c r="M43" t="s">
        <v>144</v>
      </c>
      <c r="N43">
        <v>85</v>
      </c>
      <c r="O43" t="b">
        <v>1</v>
      </c>
      <c r="P43" s="3">
        <v>44447</v>
      </c>
      <c r="Q43">
        <v>284543.75</v>
      </c>
      <c r="R43" t="str">
        <f t="shared" ca="1" si="0"/>
        <v>14/09</v>
      </c>
    </row>
    <row r="44" spans="1:18" x14ac:dyDescent="0.3">
      <c r="A44" t="s">
        <v>145</v>
      </c>
      <c r="B44" t="s">
        <v>18</v>
      </c>
      <c r="C44" t="s">
        <v>46</v>
      </c>
      <c r="D44" s="2">
        <v>45589</v>
      </c>
      <c r="E44">
        <v>5010.8999999999996</v>
      </c>
      <c r="F44" t="s">
        <v>46</v>
      </c>
      <c r="G44" t="s">
        <v>47</v>
      </c>
      <c r="H44" t="s">
        <v>146</v>
      </c>
      <c r="I44">
        <v>5018.056453255178</v>
      </c>
      <c r="J44">
        <v>10786.29997538922</v>
      </c>
      <c r="K44">
        <v>25899.019783675511</v>
      </c>
      <c r="L44" s="2">
        <v>45589</v>
      </c>
      <c r="M44" t="s">
        <v>147</v>
      </c>
      <c r="N44">
        <v>56</v>
      </c>
      <c r="O44" t="b">
        <v>1</v>
      </c>
      <c r="P44" s="3">
        <v>45152</v>
      </c>
      <c r="Q44">
        <v>1458558.7203259999</v>
      </c>
      <c r="R44" t="str">
        <f t="shared" ca="1" si="0"/>
        <v>29/02</v>
      </c>
    </row>
    <row r="45" spans="1:18" x14ac:dyDescent="0.3">
      <c r="A45" t="s">
        <v>148</v>
      </c>
      <c r="B45" t="s">
        <v>38</v>
      </c>
      <c r="C45" t="s">
        <v>29</v>
      </c>
      <c r="D45" s="2">
        <v>45873</v>
      </c>
      <c r="E45">
        <v>11570</v>
      </c>
      <c r="F45" t="s">
        <v>29</v>
      </c>
      <c r="G45" t="s">
        <v>39</v>
      </c>
      <c r="H45" t="s">
        <v>149</v>
      </c>
      <c r="I45">
        <v>7016.4145194539024</v>
      </c>
      <c r="J45">
        <v>13435</v>
      </c>
      <c r="K45">
        <v>19948.817971336081</v>
      </c>
      <c r="L45" s="2">
        <v>46592</v>
      </c>
      <c r="M45" t="s">
        <v>149</v>
      </c>
      <c r="N45">
        <v>2</v>
      </c>
      <c r="O45" t="b">
        <v>0</v>
      </c>
      <c r="P45" s="3">
        <v>45154</v>
      </c>
      <c r="Q45">
        <v>26870</v>
      </c>
      <c r="R45" t="str">
        <f t="shared" ca="1" si="0"/>
        <v>29/03</v>
      </c>
    </row>
    <row r="46" spans="1:18" x14ac:dyDescent="0.3">
      <c r="A46" t="s">
        <v>150</v>
      </c>
      <c r="B46" t="s">
        <v>18</v>
      </c>
      <c r="C46" t="s">
        <v>66</v>
      </c>
      <c r="D46" s="2">
        <v>45287</v>
      </c>
      <c r="E46">
        <v>200032.87</v>
      </c>
      <c r="F46" t="s">
        <v>66</v>
      </c>
      <c r="G46" t="s">
        <v>67</v>
      </c>
      <c r="H46" t="s">
        <v>151</v>
      </c>
      <c r="I46">
        <v>15884.70659839835</v>
      </c>
      <c r="J46">
        <v>116442.941875</v>
      </c>
      <c r="K46">
        <v>513531.16353060078</v>
      </c>
      <c r="L46" s="2">
        <v>45287</v>
      </c>
      <c r="M46" t="s">
        <v>152</v>
      </c>
      <c r="N46">
        <v>4</v>
      </c>
      <c r="O46" t="b">
        <v>0</v>
      </c>
      <c r="P46" s="3">
        <v>45195</v>
      </c>
      <c r="Q46">
        <v>798439.51</v>
      </c>
      <c r="R46" t="str">
        <f t="shared" ca="1" si="0"/>
        <v>23/12</v>
      </c>
    </row>
    <row r="47" spans="1:18" x14ac:dyDescent="0.3">
      <c r="A47" t="s">
        <v>153</v>
      </c>
      <c r="B47" t="s">
        <v>18</v>
      </c>
      <c r="C47" t="s">
        <v>66</v>
      </c>
      <c r="D47" s="2">
        <v>45226</v>
      </c>
      <c r="E47">
        <v>100</v>
      </c>
      <c r="F47" t="s">
        <v>66</v>
      </c>
      <c r="G47" t="s">
        <v>67</v>
      </c>
      <c r="H47" t="s">
        <v>154</v>
      </c>
      <c r="I47">
        <v>0</v>
      </c>
      <c r="J47">
        <v>100</v>
      </c>
      <c r="K47">
        <v>1423.0636227203879</v>
      </c>
      <c r="L47" s="2">
        <v>45226</v>
      </c>
      <c r="M47" t="s">
        <v>155</v>
      </c>
      <c r="N47">
        <v>3</v>
      </c>
      <c r="O47" t="b">
        <v>0</v>
      </c>
      <c r="P47" s="3">
        <v>45226</v>
      </c>
      <c r="Q47">
        <v>500</v>
      </c>
      <c r="R47" t="str">
        <f t="shared" ca="1" si="0"/>
        <v>01/07</v>
      </c>
    </row>
    <row r="48" spans="1:18" x14ac:dyDescent="0.3">
      <c r="A48" t="s">
        <v>156</v>
      </c>
      <c r="B48" t="s">
        <v>18</v>
      </c>
      <c r="C48" t="s">
        <v>66</v>
      </c>
      <c r="D48" s="2">
        <v>45280</v>
      </c>
      <c r="E48">
        <v>150000</v>
      </c>
      <c r="F48" t="s">
        <v>66</v>
      </c>
      <c r="G48" t="s">
        <v>67</v>
      </c>
      <c r="H48" t="s">
        <v>157</v>
      </c>
      <c r="I48">
        <v>125509.2874788616</v>
      </c>
      <c r="J48">
        <v>150000</v>
      </c>
      <c r="K48">
        <v>237178.14322482151</v>
      </c>
      <c r="L48" s="2">
        <v>45310</v>
      </c>
      <c r="M48" t="s">
        <v>158</v>
      </c>
      <c r="N48">
        <v>2</v>
      </c>
      <c r="O48" t="b">
        <v>0</v>
      </c>
      <c r="P48" s="3">
        <v>45250</v>
      </c>
      <c r="Q48">
        <v>176305.26</v>
      </c>
      <c r="R48" t="str">
        <f t="shared" ca="1" si="0"/>
        <v>11/12</v>
      </c>
    </row>
    <row r="49" spans="1:18" x14ac:dyDescent="0.3">
      <c r="A49" t="s">
        <v>159</v>
      </c>
      <c r="B49" t="s">
        <v>18</v>
      </c>
      <c r="C49" t="s">
        <v>66</v>
      </c>
      <c r="D49" s="2">
        <v>45902</v>
      </c>
      <c r="E49">
        <v>59694.63</v>
      </c>
      <c r="F49" t="s">
        <v>66</v>
      </c>
      <c r="G49" t="s">
        <v>67</v>
      </c>
      <c r="H49" t="s">
        <v>160</v>
      </c>
      <c r="I49">
        <v>3842.6969939616301</v>
      </c>
      <c r="J49">
        <v>14871.488455192881</v>
      </c>
      <c r="K49">
        <v>82318.553419944161</v>
      </c>
      <c r="L49" s="2">
        <v>45938</v>
      </c>
      <c r="M49" t="s">
        <v>161</v>
      </c>
      <c r="N49">
        <v>10</v>
      </c>
      <c r="O49" t="b">
        <v>0</v>
      </c>
      <c r="P49" s="3">
        <v>45278</v>
      </c>
      <c r="Q49">
        <v>903466.17</v>
      </c>
      <c r="R49" t="str">
        <f t="shared" ca="1" si="0"/>
        <v>21/04</v>
      </c>
    </row>
    <row r="50" spans="1:18" x14ac:dyDescent="0.3">
      <c r="A50" t="s">
        <v>162</v>
      </c>
      <c r="B50" t="s">
        <v>18</v>
      </c>
      <c r="C50" t="s">
        <v>66</v>
      </c>
      <c r="D50" s="2">
        <v>45902</v>
      </c>
      <c r="E50">
        <v>50000</v>
      </c>
      <c r="F50" t="s">
        <v>66</v>
      </c>
      <c r="G50" t="s">
        <v>67</v>
      </c>
      <c r="H50" t="s">
        <v>55</v>
      </c>
      <c r="I50">
        <v>29061.070622436891</v>
      </c>
      <c r="J50">
        <v>50000</v>
      </c>
      <c r="K50">
        <v>69161.622438377526</v>
      </c>
      <c r="L50" s="2">
        <v>45902</v>
      </c>
      <c r="M50" t="s">
        <v>163</v>
      </c>
      <c r="N50">
        <v>4</v>
      </c>
      <c r="O50" t="b">
        <v>0</v>
      </c>
      <c r="P50" s="3">
        <v>45901</v>
      </c>
      <c r="Q50">
        <v>115330.98</v>
      </c>
      <c r="R50" t="str">
        <f t="shared" ca="1" si="0"/>
        <v>06/02</v>
      </c>
    </row>
    <row r="51" spans="1:18" x14ac:dyDescent="0.3">
      <c r="A51" t="s">
        <v>164</v>
      </c>
      <c r="B51" t="s">
        <v>18</v>
      </c>
      <c r="C51" t="s">
        <v>24</v>
      </c>
      <c r="D51" s="2">
        <v>45021</v>
      </c>
      <c r="E51">
        <v>7612.31</v>
      </c>
      <c r="F51" t="s">
        <v>24</v>
      </c>
      <c r="G51" t="s">
        <v>25</v>
      </c>
      <c r="H51" t="s">
        <v>165</v>
      </c>
      <c r="I51">
        <v>2054.4643163594969</v>
      </c>
      <c r="J51">
        <v>3880.6521907892238</v>
      </c>
      <c r="K51">
        <v>6853.7536771117666</v>
      </c>
      <c r="L51" s="2">
        <v>45027</v>
      </c>
      <c r="M51" t="s">
        <v>166</v>
      </c>
      <c r="N51">
        <v>38</v>
      </c>
      <c r="O51" t="b">
        <v>0</v>
      </c>
      <c r="P51" s="3">
        <v>44447</v>
      </c>
      <c r="Q51">
        <v>163039.9</v>
      </c>
      <c r="R51" t="str">
        <f t="shared" ca="1" si="0"/>
        <v>01/07</v>
      </c>
    </row>
    <row r="52" spans="1:18" x14ac:dyDescent="0.3">
      <c r="A52" t="s">
        <v>167</v>
      </c>
      <c r="B52" t="s">
        <v>34</v>
      </c>
      <c r="C52" t="s">
        <v>29</v>
      </c>
      <c r="D52" s="2">
        <v>45315</v>
      </c>
      <c r="E52">
        <v>15300.18</v>
      </c>
      <c r="F52" t="s">
        <v>29</v>
      </c>
      <c r="G52" t="s">
        <v>39</v>
      </c>
      <c r="H52" t="s">
        <v>168</v>
      </c>
      <c r="I52">
        <v>15300.18</v>
      </c>
      <c r="J52">
        <v>15300.18</v>
      </c>
      <c r="K52">
        <v>15300.18</v>
      </c>
      <c r="L52" s="2">
        <v>45345</v>
      </c>
      <c r="M52" t="s">
        <v>168</v>
      </c>
      <c r="N52">
        <v>1</v>
      </c>
      <c r="O52" t="b">
        <v>0</v>
      </c>
      <c r="P52" s="3">
        <v>45315</v>
      </c>
      <c r="Q52">
        <v>15300.18</v>
      </c>
      <c r="R52" t="str">
        <f t="shared" ca="1" si="0"/>
        <v>19/05</v>
      </c>
    </row>
    <row r="53" spans="1:18" x14ac:dyDescent="0.3">
      <c r="A53" t="s">
        <v>169</v>
      </c>
      <c r="B53" t="s">
        <v>18</v>
      </c>
      <c r="C53" t="s">
        <v>66</v>
      </c>
      <c r="D53" s="2">
        <v>45322</v>
      </c>
      <c r="E53">
        <v>1590</v>
      </c>
      <c r="F53" t="s">
        <v>66</v>
      </c>
      <c r="G53" t="s">
        <v>67</v>
      </c>
      <c r="H53" t="s">
        <v>170</v>
      </c>
      <c r="I53">
        <v>1168.264608902376</v>
      </c>
      <c r="J53">
        <v>1795</v>
      </c>
      <c r="K53">
        <v>4142.3935543692141</v>
      </c>
      <c r="L53" s="2">
        <v>45322</v>
      </c>
      <c r="M53" t="s">
        <v>171</v>
      </c>
      <c r="N53">
        <v>6</v>
      </c>
      <c r="O53" t="b">
        <v>0</v>
      </c>
      <c r="P53" s="3">
        <v>45322</v>
      </c>
      <c r="Q53">
        <v>15090</v>
      </c>
      <c r="R53" t="str">
        <f t="shared" ca="1" si="0"/>
        <v>24/08</v>
      </c>
    </row>
    <row r="54" spans="1:18" x14ac:dyDescent="0.3">
      <c r="A54" t="s">
        <v>172</v>
      </c>
      <c r="B54" t="s">
        <v>34</v>
      </c>
      <c r="C54" t="s">
        <v>66</v>
      </c>
      <c r="D54" s="2">
        <v>45328</v>
      </c>
      <c r="E54">
        <v>24000</v>
      </c>
      <c r="F54" t="s">
        <v>66</v>
      </c>
      <c r="G54" t="s">
        <v>67</v>
      </c>
      <c r="H54" t="s">
        <v>173</v>
      </c>
      <c r="I54">
        <v>24000</v>
      </c>
      <c r="J54">
        <v>24000</v>
      </c>
      <c r="K54">
        <v>24000</v>
      </c>
      <c r="L54" s="2">
        <v>45358</v>
      </c>
      <c r="M54" t="s">
        <v>173</v>
      </c>
      <c r="N54">
        <v>1</v>
      </c>
      <c r="O54" t="b">
        <v>0</v>
      </c>
      <c r="P54" s="3">
        <v>45328</v>
      </c>
      <c r="Q54">
        <v>24000</v>
      </c>
      <c r="R54" t="str">
        <f t="shared" ca="1" si="0"/>
        <v>20/04</v>
      </c>
    </row>
    <row r="55" spans="1:18" x14ac:dyDescent="0.3">
      <c r="A55" t="s">
        <v>174</v>
      </c>
      <c r="B55" t="s">
        <v>18</v>
      </c>
      <c r="C55" t="s">
        <v>24</v>
      </c>
      <c r="D55" s="2">
        <v>45926</v>
      </c>
      <c r="E55">
        <v>4668.04</v>
      </c>
      <c r="F55" t="s">
        <v>24</v>
      </c>
      <c r="G55" t="s">
        <v>25</v>
      </c>
      <c r="H55" t="s">
        <v>175</v>
      </c>
      <c r="I55">
        <v>1318.6393084377919</v>
      </c>
      <c r="J55">
        <v>3301.1593372492239</v>
      </c>
      <c r="K55">
        <v>10627.014766665119</v>
      </c>
      <c r="L55" s="2">
        <v>45927</v>
      </c>
      <c r="M55" t="s">
        <v>176</v>
      </c>
      <c r="N55">
        <v>142</v>
      </c>
      <c r="O55" t="b">
        <v>1</v>
      </c>
      <c r="P55" s="3">
        <v>45337</v>
      </c>
      <c r="Q55">
        <v>708796.63</v>
      </c>
      <c r="R55" t="str">
        <f t="shared" ca="1" si="0"/>
        <v>04/12</v>
      </c>
    </row>
    <row r="56" spans="1:18" x14ac:dyDescent="0.3">
      <c r="A56" t="s">
        <v>177</v>
      </c>
      <c r="B56" t="s">
        <v>18</v>
      </c>
      <c r="C56" t="s">
        <v>66</v>
      </c>
      <c r="D56" s="2">
        <v>45439</v>
      </c>
      <c r="E56">
        <v>3400</v>
      </c>
      <c r="F56" t="s">
        <v>66</v>
      </c>
      <c r="G56" t="s">
        <v>67</v>
      </c>
      <c r="H56" t="s">
        <v>178</v>
      </c>
      <c r="I56">
        <v>3048.8573852928871</v>
      </c>
      <c r="J56">
        <v>6400</v>
      </c>
      <c r="K56">
        <v>16356.91063048811</v>
      </c>
      <c r="L56" s="2">
        <v>45456</v>
      </c>
      <c r="M56" t="s">
        <v>179</v>
      </c>
      <c r="N56">
        <v>7</v>
      </c>
      <c r="O56" t="b">
        <v>0</v>
      </c>
      <c r="P56" s="3">
        <v>45343</v>
      </c>
      <c r="Q56">
        <v>51600</v>
      </c>
      <c r="R56" t="str">
        <f t="shared" ca="1" si="0"/>
        <v>13/09</v>
      </c>
    </row>
    <row r="57" spans="1:18" x14ac:dyDescent="0.3">
      <c r="A57" t="s">
        <v>180</v>
      </c>
      <c r="B57" t="s">
        <v>18</v>
      </c>
      <c r="C57" t="s">
        <v>66</v>
      </c>
      <c r="D57" s="2">
        <v>45533</v>
      </c>
      <c r="E57">
        <v>25000</v>
      </c>
      <c r="F57" t="s">
        <v>66</v>
      </c>
      <c r="G57" t="s">
        <v>67</v>
      </c>
      <c r="H57" t="s">
        <v>84</v>
      </c>
      <c r="I57">
        <v>10344.655182662789</v>
      </c>
      <c r="J57">
        <v>30000</v>
      </c>
      <c r="K57">
        <v>53701.964817067957</v>
      </c>
      <c r="L57" s="2">
        <v>45533</v>
      </c>
      <c r="M57" t="s">
        <v>181</v>
      </c>
      <c r="N57">
        <v>7</v>
      </c>
      <c r="O57" t="b">
        <v>0</v>
      </c>
      <c r="P57" s="3">
        <v>45533</v>
      </c>
      <c r="Q57">
        <v>200000</v>
      </c>
      <c r="R57" t="str">
        <f t="shared" ca="1" si="0"/>
        <v>24/09</v>
      </c>
    </row>
    <row r="58" spans="1:18" x14ac:dyDescent="0.3">
      <c r="A58" t="s">
        <v>182</v>
      </c>
      <c r="B58" t="s">
        <v>18</v>
      </c>
      <c r="C58" t="s">
        <v>24</v>
      </c>
      <c r="D58" s="2">
        <v>44753</v>
      </c>
      <c r="E58">
        <v>971.88</v>
      </c>
      <c r="F58" t="s">
        <v>24</v>
      </c>
      <c r="G58" t="s">
        <v>25</v>
      </c>
      <c r="H58" t="s">
        <v>183</v>
      </c>
      <c r="I58">
        <v>2335.2957162397279</v>
      </c>
      <c r="J58">
        <v>7439.7422955928769</v>
      </c>
      <c r="K58">
        <v>19745.52463701856</v>
      </c>
      <c r="L58" s="2">
        <v>44759</v>
      </c>
      <c r="M58" t="s">
        <v>184</v>
      </c>
      <c r="N58">
        <v>42</v>
      </c>
      <c r="O58" t="b">
        <v>0</v>
      </c>
      <c r="P58" s="3">
        <v>44448</v>
      </c>
      <c r="Q58">
        <v>381002.38</v>
      </c>
      <c r="R58" t="str">
        <f t="shared" ca="1" si="0"/>
        <v>14/02</v>
      </c>
    </row>
    <row r="59" spans="1:18" x14ac:dyDescent="0.3">
      <c r="A59" t="s">
        <v>185</v>
      </c>
      <c r="B59" t="s">
        <v>34</v>
      </c>
      <c r="C59" t="s">
        <v>66</v>
      </c>
      <c r="D59" s="2">
        <v>45356</v>
      </c>
      <c r="E59">
        <v>100000</v>
      </c>
      <c r="F59" t="s">
        <v>66</v>
      </c>
      <c r="G59" t="s">
        <v>67</v>
      </c>
      <c r="H59" t="s">
        <v>186</v>
      </c>
      <c r="I59">
        <v>100000</v>
      </c>
      <c r="J59">
        <v>100000</v>
      </c>
      <c r="K59">
        <v>100000</v>
      </c>
      <c r="L59" s="2">
        <v>45386</v>
      </c>
      <c r="M59" t="s">
        <v>186</v>
      </c>
      <c r="N59">
        <v>1</v>
      </c>
      <c r="O59" t="b">
        <v>0</v>
      </c>
      <c r="P59" s="3">
        <v>45356</v>
      </c>
      <c r="Q59">
        <v>100000</v>
      </c>
      <c r="R59" t="str">
        <f t="shared" ca="1" si="0"/>
        <v>23/11</v>
      </c>
    </row>
    <row r="60" spans="1:18" x14ac:dyDescent="0.3">
      <c r="A60" t="s">
        <v>187</v>
      </c>
      <c r="B60" t="s">
        <v>18</v>
      </c>
      <c r="C60" t="s">
        <v>66</v>
      </c>
      <c r="D60" s="2">
        <v>45876</v>
      </c>
      <c r="E60">
        <v>500</v>
      </c>
      <c r="F60" t="s">
        <v>66</v>
      </c>
      <c r="G60" t="s">
        <v>67</v>
      </c>
      <c r="H60" t="s">
        <v>188</v>
      </c>
      <c r="I60">
        <v>249.40031205036749</v>
      </c>
      <c r="J60">
        <v>500</v>
      </c>
      <c r="K60">
        <v>501.36927160605109</v>
      </c>
      <c r="L60" s="2">
        <v>45879</v>
      </c>
      <c r="M60" t="s">
        <v>189</v>
      </c>
      <c r="N60">
        <v>73</v>
      </c>
      <c r="O60" t="b">
        <v>1</v>
      </c>
      <c r="P60" s="3">
        <v>45394</v>
      </c>
      <c r="Q60">
        <v>33346.82</v>
      </c>
      <c r="R60" t="str">
        <f t="shared" ca="1" si="0"/>
        <v>16/10</v>
      </c>
    </row>
    <row r="61" spans="1:18" x14ac:dyDescent="0.3">
      <c r="A61" t="s">
        <v>190</v>
      </c>
      <c r="B61" t="s">
        <v>18</v>
      </c>
      <c r="C61" t="s">
        <v>66</v>
      </c>
      <c r="D61" s="2">
        <v>45419</v>
      </c>
      <c r="E61">
        <v>980.36</v>
      </c>
      <c r="F61" t="s">
        <v>66</v>
      </c>
      <c r="G61" t="s">
        <v>67</v>
      </c>
      <c r="H61" t="s">
        <v>191</v>
      </c>
      <c r="I61">
        <v>829.28724793273943</v>
      </c>
      <c r="J61">
        <v>980.36</v>
      </c>
      <c r="K61">
        <v>986.86663842513826</v>
      </c>
      <c r="L61" s="2">
        <v>45420</v>
      </c>
      <c r="M61" t="s">
        <v>192</v>
      </c>
      <c r="N61">
        <v>2</v>
      </c>
      <c r="O61" t="b">
        <v>0</v>
      </c>
      <c r="P61" s="3">
        <v>45418</v>
      </c>
      <c r="Q61">
        <v>1980.36</v>
      </c>
      <c r="R61" t="str">
        <f t="shared" ca="1" si="0"/>
        <v>29/04</v>
      </c>
    </row>
    <row r="62" spans="1:18" x14ac:dyDescent="0.3">
      <c r="A62" t="s">
        <v>193</v>
      </c>
      <c r="B62" t="s">
        <v>34</v>
      </c>
      <c r="C62" t="s">
        <v>24</v>
      </c>
      <c r="D62" s="2">
        <v>45426</v>
      </c>
      <c r="E62">
        <v>21033.81</v>
      </c>
      <c r="F62" t="s">
        <v>24</v>
      </c>
      <c r="G62" t="s">
        <v>25</v>
      </c>
      <c r="H62" t="s">
        <v>194</v>
      </c>
      <c r="I62">
        <v>21033.81</v>
      </c>
      <c r="J62">
        <v>21033.81</v>
      </c>
      <c r="K62">
        <v>21033.81</v>
      </c>
      <c r="L62" s="2">
        <v>45456</v>
      </c>
      <c r="M62" t="s">
        <v>194</v>
      </c>
      <c r="N62">
        <v>1</v>
      </c>
      <c r="O62" t="b">
        <v>0</v>
      </c>
      <c r="P62" s="3">
        <v>45426</v>
      </c>
      <c r="Q62">
        <v>21033.81</v>
      </c>
      <c r="R62" t="str">
        <f t="shared" ca="1" si="0"/>
        <v>24/01</v>
      </c>
    </row>
    <row r="63" spans="1:18" x14ac:dyDescent="0.3">
      <c r="A63" t="s">
        <v>195</v>
      </c>
      <c r="B63" t="s">
        <v>34</v>
      </c>
      <c r="C63" t="s">
        <v>66</v>
      </c>
      <c r="D63" s="2">
        <v>45625</v>
      </c>
      <c r="E63">
        <v>103672.32000000001</v>
      </c>
      <c r="F63" t="s">
        <v>66</v>
      </c>
      <c r="G63" t="s">
        <v>67</v>
      </c>
      <c r="H63" t="s">
        <v>196</v>
      </c>
      <c r="I63">
        <v>103672.32000000001</v>
      </c>
      <c r="J63">
        <v>103672.32000000001</v>
      </c>
      <c r="K63">
        <v>103672.32000000001</v>
      </c>
      <c r="L63" s="2">
        <v>45655</v>
      </c>
      <c r="M63" t="s">
        <v>196</v>
      </c>
      <c r="N63">
        <v>1</v>
      </c>
      <c r="O63" t="b">
        <v>0</v>
      </c>
      <c r="P63" s="3">
        <v>45625</v>
      </c>
      <c r="Q63">
        <v>103672.32000000001</v>
      </c>
      <c r="R63" t="str">
        <f t="shared" ca="1" si="0"/>
        <v>18/04</v>
      </c>
    </row>
    <row r="64" spans="1:18" x14ac:dyDescent="0.3">
      <c r="A64" t="s">
        <v>197</v>
      </c>
      <c r="B64" t="s">
        <v>18</v>
      </c>
      <c r="C64" t="s">
        <v>66</v>
      </c>
      <c r="D64" s="2">
        <v>45432</v>
      </c>
      <c r="E64">
        <v>149855.28</v>
      </c>
      <c r="F64" t="s">
        <v>66</v>
      </c>
      <c r="G64" t="s">
        <v>67</v>
      </c>
      <c r="H64" t="s">
        <v>198</v>
      </c>
      <c r="I64">
        <v>49015.676299669933</v>
      </c>
      <c r="J64">
        <v>99821.546875</v>
      </c>
      <c r="K64">
        <v>176294.9262622965</v>
      </c>
      <c r="L64" s="2">
        <v>45432</v>
      </c>
      <c r="M64" t="s">
        <v>199</v>
      </c>
      <c r="N64">
        <v>6</v>
      </c>
      <c r="O64" t="b">
        <v>0</v>
      </c>
      <c r="P64" s="3">
        <v>45432</v>
      </c>
      <c r="Q64">
        <v>599690.16</v>
      </c>
      <c r="R64" t="str">
        <f t="shared" ca="1" si="0"/>
        <v>08/10</v>
      </c>
    </row>
    <row r="65" spans="1:18" x14ac:dyDescent="0.3">
      <c r="A65" t="s">
        <v>200</v>
      </c>
      <c r="B65" t="s">
        <v>38</v>
      </c>
      <c r="C65" t="s">
        <v>19</v>
      </c>
      <c r="D65" s="2">
        <v>45489</v>
      </c>
      <c r="E65">
        <v>913.66</v>
      </c>
      <c r="F65" t="s">
        <v>19</v>
      </c>
      <c r="G65" t="s">
        <v>20</v>
      </c>
      <c r="H65" t="s">
        <v>201</v>
      </c>
      <c r="I65">
        <v>384.57916046790473</v>
      </c>
      <c r="J65">
        <v>913.66</v>
      </c>
      <c r="K65">
        <v>2249.552868180192</v>
      </c>
      <c r="L65" s="2">
        <v>46484</v>
      </c>
      <c r="M65" t="s">
        <v>202</v>
      </c>
      <c r="N65">
        <v>2</v>
      </c>
      <c r="O65" t="b">
        <v>0</v>
      </c>
      <c r="P65" s="3">
        <v>44494</v>
      </c>
      <c r="Q65">
        <v>6020.41</v>
      </c>
      <c r="R65" t="str">
        <f t="shared" ca="1" si="0"/>
        <v>18/06</v>
      </c>
    </row>
    <row r="66" spans="1:18" x14ac:dyDescent="0.3">
      <c r="A66" t="s">
        <v>203</v>
      </c>
      <c r="B66" t="s">
        <v>18</v>
      </c>
      <c r="C66" t="s">
        <v>24</v>
      </c>
      <c r="D66" s="2">
        <v>45548</v>
      </c>
      <c r="E66">
        <v>2857.11</v>
      </c>
      <c r="F66" t="s">
        <v>24</v>
      </c>
      <c r="G66" t="s">
        <v>25</v>
      </c>
      <c r="H66" t="s">
        <v>204</v>
      </c>
      <c r="I66">
        <v>554.88595101889666</v>
      </c>
      <c r="J66">
        <v>1383.08</v>
      </c>
      <c r="K66">
        <v>5105.6466752536744</v>
      </c>
      <c r="L66" s="2">
        <v>45552</v>
      </c>
      <c r="M66" t="s">
        <v>205</v>
      </c>
      <c r="N66">
        <v>6</v>
      </c>
      <c r="O66" t="b">
        <v>0</v>
      </c>
      <c r="P66" s="3">
        <v>45440</v>
      </c>
      <c r="Q66">
        <v>9499.0600000000013</v>
      </c>
      <c r="R66" t="str">
        <f t="shared" ca="1" si="0"/>
        <v>26/11</v>
      </c>
    </row>
    <row r="67" spans="1:18" x14ac:dyDescent="0.3">
      <c r="A67" t="s">
        <v>206</v>
      </c>
      <c r="B67" t="s">
        <v>18</v>
      </c>
      <c r="C67" t="s">
        <v>24</v>
      </c>
      <c r="D67" s="2">
        <v>45859</v>
      </c>
      <c r="E67">
        <v>9073.42</v>
      </c>
      <c r="F67" t="s">
        <v>19</v>
      </c>
      <c r="G67" t="s">
        <v>30</v>
      </c>
      <c r="H67" t="s">
        <v>207</v>
      </c>
      <c r="I67">
        <v>2826.5241938327899</v>
      </c>
      <c r="J67">
        <v>7763.3222955928768</v>
      </c>
      <c r="K67">
        <v>19469.148869869401</v>
      </c>
      <c r="L67" s="2">
        <v>45893</v>
      </c>
      <c r="M67" t="s">
        <v>208</v>
      </c>
      <c r="N67">
        <v>12</v>
      </c>
      <c r="O67" t="b">
        <v>0</v>
      </c>
      <c r="P67" s="3">
        <v>45511</v>
      </c>
      <c r="Q67">
        <v>140329.71</v>
      </c>
      <c r="R67" t="str">
        <f t="shared" ref="R67:R130" ca="1" si="1">TEXT(RANDBETWEEN(DATE(2000,1,1),DATE(2000,12,31)),"dd/mm")</f>
        <v>14/03</v>
      </c>
    </row>
    <row r="68" spans="1:18" x14ac:dyDescent="0.3">
      <c r="A68" t="s">
        <v>209</v>
      </c>
      <c r="B68" t="s">
        <v>18</v>
      </c>
      <c r="C68" t="s">
        <v>19</v>
      </c>
      <c r="D68" s="2">
        <v>45884</v>
      </c>
      <c r="E68">
        <v>9631.69</v>
      </c>
      <c r="F68" t="s">
        <v>24</v>
      </c>
      <c r="G68" t="s">
        <v>210</v>
      </c>
      <c r="H68" t="s">
        <v>211</v>
      </c>
      <c r="I68">
        <v>9053.996686973649</v>
      </c>
      <c r="J68">
        <v>16369.06</v>
      </c>
      <c r="K68">
        <v>24413.271722884911</v>
      </c>
      <c r="L68" s="2">
        <v>45969</v>
      </c>
      <c r="M68" t="s">
        <v>212</v>
      </c>
      <c r="N68">
        <v>5</v>
      </c>
      <c r="O68" t="b">
        <v>0</v>
      </c>
      <c r="P68" s="3">
        <v>45504</v>
      </c>
      <c r="Q68">
        <v>57672.43</v>
      </c>
      <c r="R68" t="str">
        <f t="shared" ca="1" si="1"/>
        <v>18/04</v>
      </c>
    </row>
    <row r="69" spans="1:18" x14ac:dyDescent="0.3">
      <c r="A69" t="s">
        <v>213</v>
      </c>
      <c r="B69" t="s">
        <v>18</v>
      </c>
      <c r="C69" t="s">
        <v>29</v>
      </c>
      <c r="D69" s="2">
        <v>45736</v>
      </c>
      <c r="E69">
        <v>10000</v>
      </c>
      <c r="F69" t="s">
        <v>29</v>
      </c>
      <c r="G69" t="s">
        <v>39</v>
      </c>
      <c r="H69" t="s">
        <v>57</v>
      </c>
      <c r="I69">
        <v>5224.9034193791213</v>
      </c>
      <c r="J69">
        <v>10000</v>
      </c>
      <c r="K69">
        <v>22658.55462556722</v>
      </c>
      <c r="L69" s="2">
        <v>45736</v>
      </c>
      <c r="M69" t="s">
        <v>214</v>
      </c>
      <c r="N69">
        <v>7</v>
      </c>
      <c r="O69" t="b">
        <v>0</v>
      </c>
      <c r="P69" s="3">
        <v>45735</v>
      </c>
      <c r="Q69">
        <v>85000</v>
      </c>
      <c r="R69" t="str">
        <f t="shared" ca="1" si="1"/>
        <v>29/08</v>
      </c>
    </row>
    <row r="70" spans="1:18" x14ac:dyDescent="0.3">
      <c r="A70" t="s">
        <v>215</v>
      </c>
      <c r="B70" t="s">
        <v>18</v>
      </c>
      <c r="C70" t="s">
        <v>24</v>
      </c>
      <c r="D70" s="2">
        <v>45687</v>
      </c>
      <c r="E70">
        <v>16407.45</v>
      </c>
      <c r="F70" t="s">
        <v>19</v>
      </c>
      <c r="G70" t="s">
        <v>30</v>
      </c>
      <c r="H70" t="s">
        <v>216</v>
      </c>
      <c r="I70">
        <v>7672.177147767421</v>
      </c>
      <c r="J70">
        <v>21134.03401078923</v>
      </c>
      <c r="K70">
        <v>56836.721627002771</v>
      </c>
      <c r="L70" s="2">
        <v>45687</v>
      </c>
      <c r="M70" t="s">
        <v>217</v>
      </c>
      <c r="N70">
        <v>10</v>
      </c>
      <c r="O70" t="b">
        <v>0</v>
      </c>
      <c r="P70" s="3">
        <v>45471</v>
      </c>
      <c r="Q70">
        <v>535039.24</v>
      </c>
      <c r="R70" t="str">
        <f t="shared" ca="1" si="1"/>
        <v>06/10</v>
      </c>
    </row>
    <row r="71" spans="1:18" x14ac:dyDescent="0.3">
      <c r="A71" t="s">
        <v>218</v>
      </c>
      <c r="B71" t="s">
        <v>18</v>
      </c>
      <c r="C71" t="s">
        <v>66</v>
      </c>
      <c r="D71" s="2">
        <v>45888</v>
      </c>
      <c r="E71">
        <v>10500</v>
      </c>
      <c r="F71" t="s">
        <v>66</v>
      </c>
      <c r="G71" t="s">
        <v>67</v>
      </c>
      <c r="H71" t="s">
        <v>219</v>
      </c>
      <c r="I71">
        <v>5974.8101320719106</v>
      </c>
      <c r="J71">
        <v>14748.30158019288</v>
      </c>
      <c r="K71">
        <v>30371.292915094691</v>
      </c>
      <c r="L71" s="2">
        <v>45888</v>
      </c>
      <c r="M71" t="s">
        <v>220</v>
      </c>
      <c r="N71">
        <v>11</v>
      </c>
      <c r="O71" t="b">
        <v>0</v>
      </c>
      <c r="P71" s="3">
        <v>45474</v>
      </c>
      <c r="Q71">
        <v>149000</v>
      </c>
      <c r="R71" t="str">
        <f t="shared" ca="1" si="1"/>
        <v>16/12</v>
      </c>
    </row>
    <row r="72" spans="1:18" x14ac:dyDescent="0.3">
      <c r="A72" t="s">
        <v>221</v>
      </c>
      <c r="B72" t="s">
        <v>18</v>
      </c>
      <c r="C72" t="s">
        <v>19</v>
      </c>
      <c r="D72" s="2">
        <v>45770</v>
      </c>
      <c r="E72">
        <v>1802.84</v>
      </c>
      <c r="F72" t="s">
        <v>19</v>
      </c>
      <c r="G72" t="s">
        <v>20</v>
      </c>
      <c r="H72" t="s">
        <v>222</v>
      </c>
      <c r="I72">
        <v>297.24641142800522</v>
      </c>
      <c r="J72">
        <v>847.15719078922405</v>
      </c>
      <c r="K72">
        <v>1082.4733748588781</v>
      </c>
      <c r="L72" s="2">
        <v>45782</v>
      </c>
      <c r="M72" t="s">
        <v>223</v>
      </c>
      <c r="N72">
        <v>11</v>
      </c>
      <c r="O72" t="b">
        <v>0</v>
      </c>
      <c r="P72" s="3">
        <v>45490</v>
      </c>
      <c r="Q72">
        <v>16326.53</v>
      </c>
      <c r="R72" t="str">
        <f t="shared" ca="1" si="1"/>
        <v>17/06</v>
      </c>
    </row>
    <row r="73" spans="1:18" x14ac:dyDescent="0.3">
      <c r="A73" t="s">
        <v>224</v>
      </c>
      <c r="B73" t="s">
        <v>18</v>
      </c>
      <c r="C73" t="s">
        <v>29</v>
      </c>
      <c r="D73" s="2">
        <v>45730</v>
      </c>
      <c r="E73">
        <v>5000</v>
      </c>
      <c r="F73" t="s">
        <v>29</v>
      </c>
      <c r="G73" t="s">
        <v>39</v>
      </c>
      <c r="H73" t="s">
        <v>225</v>
      </c>
      <c r="I73">
        <v>5543.5968438815562</v>
      </c>
      <c r="J73">
        <v>13058.846921849219</v>
      </c>
      <c r="K73">
        <v>32106.79900094794</v>
      </c>
      <c r="L73" s="2">
        <v>45730</v>
      </c>
      <c r="M73" t="s">
        <v>226</v>
      </c>
      <c r="N73">
        <v>13</v>
      </c>
      <c r="O73" t="b">
        <v>0</v>
      </c>
      <c r="P73" s="3">
        <v>45505</v>
      </c>
      <c r="Q73">
        <v>203000</v>
      </c>
      <c r="R73" t="str">
        <f t="shared" ca="1" si="1"/>
        <v>05/06</v>
      </c>
    </row>
    <row r="74" spans="1:18" x14ac:dyDescent="0.3">
      <c r="A74" t="s">
        <v>227</v>
      </c>
      <c r="B74" t="s">
        <v>38</v>
      </c>
      <c r="C74" t="s">
        <v>24</v>
      </c>
      <c r="D74" s="2">
        <v>45491</v>
      </c>
      <c r="E74">
        <v>493.67</v>
      </c>
      <c r="F74" t="s">
        <v>24</v>
      </c>
      <c r="G74" t="s">
        <v>25</v>
      </c>
      <c r="H74" t="s">
        <v>228</v>
      </c>
      <c r="I74">
        <v>1097.68733173029</v>
      </c>
      <c r="J74">
        <v>3010.7961077158939</v>
      </c>
      <c r="K74">
        <v>5875.8687891968748</v>
      </c>
      <c r="L74" s="2">
        <v>45494</v>
      </c>
      <c r="M74" t="s">
        <v>229</v>
      </c>
      <c r="N74">
        <v>6</v>
      </c>
      <c r="O74" t="b">
        <v>0</v>
      </c>
      <c r="P74" s="3">
        <v>44452</v>
      </c>
      <c r="Q74">
        <v>21194.54</v>
      </c>
      <c r="R74" t="str">
        <f t="shared" ca="1" si="1"/>
        <v>21/05</v>
      </c>
    </row>
    <row r="75" spans="1:18" x14ac:dyDescent="0.3">
      <c r="A75" t="s">
        <v>230</v>
      </c>
      <c r="B75" t="s">
        <v>18</v>
      </c>
      <c r="C75" t="s">
        <v>24</v>
      </c>
      <c r="D75" s="2">
        <v>45903</v>
      </c>
      <c r="E75">
        <v>15511.7</v>
      </c>
      <c r="F75" t="s">
        <v>24</v>
      </c>
      <c r="G75" t="s">
        <v>25</v>
      </c>
      <c r="H75" t="s">
        <v>231</v>
      </c>
      <c r="I75">
        <v>6491.7876483727696</v>
      </c>
      <c r="J75">
        <v>17559.72</v>
      </c>
      <c r="K75">
        <v>32383.23827896791</v>
      </c>
      <c r="L75" s="2">
        <v>45906</v>
      </c>
      <c r="M75" t="s">
        <v>232</v>
      </c>
      <c r="N75">
        <v>9</v>
      </c>
      <c r="O75" t="b">
        <v>0</v>
      </c>
      <c r="P75" s="3">
        <v>45516</v>
      </c>
      <c r="Q75">
        <v>208983.29</v>
      </c>
      <c r="R75" t="str">
        <f t="shared" ca="1" si="1"/>
        <v>14/12</v>
      </c>
    </row>
    <row r="76" spans="1:18" x14ac:dyDescent="0.3">
      <c r="A76" t="s">
        <v>233</v>
      </c>
      <c r="B76" t="s">
        <v>18</v>
      </c>
      <c r="C76" t="s">
        <v>29</v>
      </c>
      <c r="D76" s="2">
        <v>45897</v>
      </c>
      <c r="E76">
        <v>4007.65</v>
      </c>
      <c r="F76" t="s">
        <v>66</v>
      </c>
      <c r="G76" t="s">
        <v>234</v>
      </c>
      <c r="H76" t="s">
        <v>235</v>
      </c>
      <c r="I76">
        <v>4253.9411329420527</v>
      </c>
      <c r="J76">
        <v>9000.76</v>
      </c>
      <c r="K76">
        <v>18662.428238158929</v>
      </c>
      <c r="L76" s="2">
        <v>45981</v>
      </c>
      <c r="M76" t="s">
        <v>236</v>
      </c>
      <c r="N76">
        <v>5</v>
      </c>
      <c r="O76" t="b">
        <v>0</v>
      </c>
      <c r="P76" s="3">
        <v>45504</v>
      </c>
      <c r="Q76">
        <v>46146.23</v>
      </c>
      <c r="R76" t="str">
        <f t="shared" ca="1" si="1"/>
        <v>28/11</v>
      </c>
    </row>
    <row r="77" spans="1:18" x14ac:dyDescent="0.3">
      <c r="A77" t="s">
        <v>237</v>
      </c>
      <c r="B77" t="s">
        <v>18</v>
      </c>
      <c r="C77" t="s">
        <v>24</v>
      </c>
      <c r="D77" s="2">
        <v>45926</v>
      </c>
      <c r="E77">
        <v>10379</v>
      </c>
      <c r="F77" t="s">
        <v>24</v>
      </c>
      <c r="G77" t="s">
        <v>25</v>
      </c>
      <c r="H77" t="s">
        <v>238</v>
      </c>
      <c r="I77">
        <v>2113.4662139417901</v>
      </c>
      <c r="J77">
        <v>4174.2743372492241</v>
      </c>
      <c r="K77">
        <v>31499.140500260011</v>
      </c>
      <c r="L77" s="2">
        <v>45936</v>
      </c>
      <c r="M77" t="s">
        <v>239</v>
      </c>
      <c r="N77">
        <v>23</v>
      </c>
      <c r="O77" t="b">
        <v>0</v>
      </c>
      <c r="P77" s="3">
        <v>45512</v>
      </c>
      <c r="Q77">
        <v>256841.38</v>
      </c>
      <c r="R77" t="str">
        <f t="shared" ca="1" si="1"/>
        <v>04/03</v>
      </c>
    </row>
    <row r="78" spans="1:18" x14ac:dyDescent="0.3">
      <c r="A78" t="s">
        <v>240</v>
      </c>
      <c r="B78" t="s">
        <v>18</v>
      </c>
      <c r="C78" t="s">
        <v>24</v>
      </c>
      <c r="D78" s="2">
        <v>45757</v>
      </c>
      <c r="E78">
        <v>3305.54</v>
      </c>
      <c r="F78" t="s">
        <v>24</v>
      </c>
      <c r="G78" t="s">
        <v>25</v>
      </c>
      <c r="H78" t="s">
        <v>241</v>
      </c>
      <c r="I78">
        <v>2122.4864254822742</v>
      </c>
      <c r="J78">
        <v>3760.74</v>
      </c>
      <c r="K78">
        <v>6403.8943596356457</v>
      </c>
      <c r="L78" s="2">
        <v>45779</v>
      </c>
      <c r="M78" t="s">
        <v>242</v>
      </c>
      <c r="N78">
        <v>7</v>
      </c>
      <c r="O78" t="b">
        <v>0</v>
      </c>
      <c r="P78" s="3">
        <v>45546</v>
      </c>
      <c r="Q78">
        <v>32682.14</v>
      </c>
      <c r="R78" t="str">
        <f t="shared" ca="1" si="1"/>
        <v>13/02</v>
      </c>
    </row>
    <row r="79" spans="1:18" x14ac:dyDescent="0.3">
      <c r="A79" t="s">
        <v>243</v>
      </c>
      <c r="B79" t="s">
        <v>34</v>
      </c>
      <c r="C79" t="s">
        <v>29</v>
      </c>
      <c r="D79" s="2">
        <v>45554</v>
      </c>
      <c r="E79">
        <v>15300</v>
      </c>
      <c r="F79" t="s">
        <v>29</v>
      </c>
      <c r="G79" t="s">
        <v>39</v>
      </c>
      <c r="H79" t="s">
        <v>244</v>
      </c>
      <c r="I79">
        <v>15300</v>
      </c>
      <c r="J79">
        <v>15300</v>
      </c>
      <c r="K79">
        <v>15300</v>
      </c>
      <c r="L79" s="2">
        <v>45584</v>
      </c>
      <c r="M79" t="s">
        <v>244</v>
      </c>
      <c r="N79">
        <v>1</v>
      </c>
      <c r="O79" t="b">
        <v>0</v>
      </c>
      <c r="P79" s="3">
        <v>45554</v>
      </c>
      <c r="Q79">
        <v>15300</v>
      </c>
      <c r="R79" t="str">
        <f t="shared" ca="1" si="1"/>
        <v>09/03</v>
      </c>
    </row>
    <row r="80" spans="1:18" x14ac:dyDescent="0.3">
      <c r="A80" t="s">
        <v>245</v>
      </c>
      <c r="B80" t="s">
        <v>18</v>
      </c>
      <c r="C80" t="s">
        <v>29</v>
      </c>
      <c r="D80" s="2">
        <v>45688</v>
      </c>
      <c r="E80">
        <v>1680</v>
      </c>
      <c r="F80" t="s">
        <v>66</v>
      </c>
      <c r="G80" t="s">
        <v>35</v>
      </c>
      <c r="H80" t="s">
        <v>246</v>
      </c>
      <c r="I80">
        <v>656.31634180849562</v>
      </c>
      <c r="J80">
        <v>1485</v>
      </c>
      <c r="K80">
        <v>1982.6023038058729</v>
      </c>
      <c r="L80" s="2">
        <v>45797</v>
      </c>
      <c r="M80" t="s">
        <v>247</v>
      </c>
      <c r="N80">
        <v>2</v>
      </c>
      <c r="O80" t="b">
        <v>0</v>
      </c>
      <c r="P80" s="3">
        <v>45579</v>
      </c>
      <c r="Q80">
        <v>2880</v>
      </c>
      <c r="R80" t="str">
        <f t="shared" ca="1" si="1"/>
        <v>22/07</v>
      </c>
    </row>
    <row r="81" spans="1:18" x14ac:dyDescent="0.3">
      <c r="A81" t="s">
        <v>248</v>
      </c>
      <c r="B81" t="s">
        <v>18</v>
      </c>
      <c r="C81" t="s">
        <v>66</v>
      </c>
      <c r="D81" s="2">
        <v>45595</v>
      </c>
      <c r="E81">
        <v>3750</v>
      </c>
      <c r="F81" t="s">
        <v>66</v>
      </c>
      <c r="G81" t="s">
        <v>67</v>
      </c>
      <c r="H81" t="s">
        <v>249</v>
      </c>
      <c r="I81">
        <v>1311.35094189386</v>
      </c>
      <c r="J81">
        <v>2812.5</v>
      </c>
      <c r="K81">
        <v>7573.2046904433464</v>
      </c>
      <c r="L81" s="2">
        <v>45595</v>
      </c>
      <c r="M81" t="s">
        <v>250</v>
      </c>
      <c r="N81">
        <v>4</v>
      </c>
      <c r="O81" t="b">
        <v>0</v>
      </c>
      <c r="P81" s="3">
        <v>45595</v>
      </c>
      <c r="Q81">
        <v>15000</v>
      </c>
      <c r="R81" t="str">
        <f t="shared" ca="1" si="1"/>
        <v>08/09</v>
      </c>
    </row>
    <row r="82" spans="1:18" x14ac:dyDescent="0.3">
      <c r="A82" t="s">
        <v>251</v>
      </c>
      <c r="B82" t="s">
        <v>18</v>
      </c>
      <c r="C82" t="s">
        <v>66</v>
      </c>
      <c r="D82" s="2">
        <v>45600</v>
      </c>
      <c r="E82">
        <v>10000</v>
      </c>
      <c r="F82" t="s">
        <v>66</v>
      </c>
      <c r="G82" t="s">
        <v>67</v>
      </c>
      <c r="H82" t="s">
        <v>57</v>
      </c>
      <c r="I82">
        <v>5482.8459400302281</v>
      </c>
      <c r="J82">
        <v>10000</v>
      </c>
      <c r="K82">
        <v>14699.32731525304</v>
      </c>
      <c r="L82" s="2">
        <v>45603</v>
      </c>
      <c r="M82" t="s">
        <v>252</v>
      </c>
      <c r="N82">
        <v>2</v>
      </c>
      <c r="O82" t="b">
        <v>0</v>
      </c>
      <c r="P82" s="3">
        <v>45597</v>
      </c>
      <c r="Q82">
        <v>11000</v>
      </c>
      <c r="R82" t="str">
        <f t="shared" ca="1" si="1"/>
        <v>28/12</v>
      </c>
    </row>
    <row r="83" spans="1:18" x14ac:dyDescent="0.3">
      <c r="A83" t="s">
        <v>253</v>
      </c>
      <c r="B83" t="s">
        <v>34</v>
      </c>
      <c r="C83" t="s">
        <v>29</v>
      </c>
      <c r="D83" s="2">
        <v>45600</v>
      </c>
      <c r="E83">
        <v>15300</v>
      </c>
      <c r="F83" t="s">
        <v>29</v>
      </c>
      <c r="G83" t="s">
        <v>39</v>
      </c>
      <c r="H83" t="s">
        <v>244</v>
      </c>
      <c r="I83">
        <v>15300</v>
      </c>
      <c r="J83">
        <v>15300</v>
      </c>
      <c r="K83">
        <v>15300</v>
      </c>
      <c r="L83" s="2">
        <v>45630</v>
      </c>
      <c r="M83" t="s">
        <v>244</v>
      </c>
      <c r="N83">
        <v>1</v>
      </c>
      <c r="O83" t="b">
        <v>0</v>
      </c>
      <c r="P83" s="3">
        <v>45600</v>
      </c>
      <c r="Q83">
        <v>15300</v>
      </c>
      <c r="R83" t="str">
        <f t="shared" ca="1" si="1"/>
        <v>19/08</v>
      </c>
    </row>
    <row r="84" spans="1:18" x14ac:dyDescent="0.3">
      <c r="A84" t="s">
        <v>254</v>
      </c>
      <c r="B84" t="s">
        <v>18</v>
      </c>
      <c r="C84" t="s">
        <v>29</v>
      </c>
      <c r="D84" s="2">
        <v>45918</v>
      </c>
      <c r="E84">
        <v>22657.56</v>
      </c>
      <c r="F84" t="s">
        <v>29</v>
      </c>
      <c r="G84" t="s">
        <v>39</v>
      </c>
      <c r="H84" t="s">
        <v>255</v>
      </c>
      <c r="I84">
        <v>7022.432743227575</v>
      </c>
      <c r="J84">
        <v>14761.64997538922</v>
      </c>
      <c r="K84">
        <v>30771.053391911679</v>
      </c>
      <c r="L84" s="2">
        <v>45919</v>
      </c>
      <c r="M84" t="s">
        <v>256</v>
      </c>
      <c r="N84">
        <v>184</v>
      </c>
      <c r="O84" t="b">
        <v>1</v>
      </c>
      <c r="P84" s="3">
        <v>44474</v>
      </c>
      <c r="Q84">
        <v>1128253.82</v>
      </c>
      <c r="R84" t="str">
        <f t="shared" ca="1" si="1"/>
        <v>02/10</v>
      </c>
    </row>
    <row r="85" spans="1:18" x14ac:dyDescent="0.3">
      <c r="A85" t="s">
        <v>257</v>
      </c>
      <c r="B85" t="s">
        <v>34</v>
      </c>
      <c r="C85" t="s">
        <v>19</v>
      </c>
      <c r="D85" s="2">
        <v>45695</v>
      </c>
      <c r="E85">
        <v>29735.55</v>
      </c>
      <c r="F85" t="s">
        <v>19</v>
      </c>
      <c r="G85" t="s">
        <v>20</v>
      </c>
      <c r="H85" t="s">
        <v>258</v>
      </c>
      <c r="I85">
        <v>29735.55</v>
      </c>
      <c r="J85">
        <v>29735.55</v>
      </c>
      <c r="K85">
        <v>29735.55</v>
      </c>
      <c r="L85" s="2">
        <v>45725</v>
      </c>
      <c r="M85" t="s">
        <v>258</v>
      </c>
      <c r="N85">
        <v>1</v>
      </c>
      <c r="O85" t="b">
        <v>0</v>
      </c>
      <c r="P85" s="3">
        <v>45695</v>
      </c>
      <c r="Q85">
        <v>29735.55</v>
      </c>
      <c r="R85" t="str">
        <f t="shared" ca="1" si="1"/>
        <v>31/03</v>
      </c>
    </row>
    <row r="86" spans="1:18" x14ac:dyDescent="0.3">
      <c r="A86" t="s">
        <v>259</v>
      </c>
      <c r="B86" t="s">
        <v>18</v>
      </c>
      <c r="C86" t="s">
        <v>29</v>
      </c>
      <c r="D86" s="2">
        <v>45657</v>
      </c>
      <c r="E86">
        <v>15300</v>
      </c>
      <c r="F86" t="s">
        <v>46</v>
      </c>
      <c r="G86" t="s">
        <v>234</v>
      </c>
      <c r="H86" t="s">
        <v>260</v>
      </c>
      <c r="I86">
        <v>15261.062572614521</v>
      </c>
      <c r="J86">
        <v>43000</v>
      </c>
      <c r="K86">
        <v>59513.529080394088</v>
      </c>
      <c r="L86" s="2">
        <v>45664</v>
      </c>
      <c r="M86" t="s">
        <v>261</v>
      </c>
      <c r="N86">
        <v>3</v>
      </c>
      <c r="O86" t="b">
        <v>0</v>
      </c>
      <c r="P86" s="3">
        <v>45643</v>
      </c>
      <c r="Q86">
        <v>108300</v>
      </c>
      <c r="R86" t="str">
        <f t="shared" ca="1" si="1"/>
        <v>09/09</v>
      </c>
    </row>
    <row r="87" spans="1:18" x14ac:dyDescent="0.3">
      <c r="A87" t="s">
        <v>262</v>
      </c>
      <c r="B87" t="s">
        <v>34</v>
      </c>
      <c r="C87" t="s">
        <v>29</v>
      </c>
      <c r="D87" s="2">
        <v>45650</v>
      </c>
      <c r="E87">
        <v>15472.03</v>
      </c>
      <c r="F87" t="s">
        <v>29</v>
      </c>
      <c r="G87" t="s">
        <v>39</v>
      </c>
      <c r="H87" t="s">
        <v>263</v>
      </c>
      <c r="I87">
        <v>15472.03</v>
      </c>
      <c r="J87">
        <v>15472.03</v>
      </c>
      <c r="K87">
        <v>15472.03</v>
      </c>
      <c r="L87" s="2">
        <v>45680</v>
      </c>
      <c r="M87" t="s">
        <v>263</v>
      </c>
      <c r="N87">
        <v>1</v>
      </c>
      <c r="O87" t="b">
        <v>0</v>
      </c>
      <c r="P87" s="3">
        <v>45650</v>
      </c>
      <c r="Q87">
        <v>15472.03</v>
      </c>
      <c r="R87" t="str">
        <f t="shared" ca="1" si="1"/>
        <v>22/11</v>
      </c>
    </row>
    <row r="88" spans="1:18" x14ac:dyDescent="0.3">
      <c r="A88" t="s">
        <v>264</v>
      </c>
      <c r="B88" t="s">
        <v>18</v>
      </c>
      <c r="C88" t="s">
        <v>66</v>
      </c>
      <c r="D88" s="2">
        <v>45755</v>
      </c>
      <c r="E88">
        <v>12500</v>
      </c>
      <c r="F88" t="s">
        <v>66</v>
      </c>
      <c r="G88" t="s">
        <v>67</v>
      </c>
      <c r="H88" t="s">
        <v>265</v>
      </c>
      <c r="I88">
        <v>5910.7528836718384</v>
      </c>
      <c r="J88">
        <v>12500</v>
      </c>
      <c r="K88">
        <v>30883.221242914002</v>
      </c>
      <c r="L88" s="2">
        <v>45755</v>
      </c>
      <c r="M88" t="s">
        <v>266</v>
      </c>
      <c r="N88">
        <v>9</v>
      </c>
      <c r="O88" t="b">
        <v>0</v>
      </c>
      <c r="P88" s="3">
        <v>45657</v>
      </c>
      <c r="Q88">
        <v>191420.3</v>
      </c>
      <c r="R88" t="str">
        <f t="shared" ca="1" si="1"/>
        <v>25/10</v>
      </c>
    </row>
    <row r="89" spans="1:18" x14ac:dyDescent="0.3">
      <c r="A89" t="s">
        <v>267</v>
      </c>
      <c r="B89" t="s">
        <v>18</v>
      </c>
      <c r="C89" t="s">
        <v>66</v>
      </c>
      <c r="D89" s="2">
        <v>45663</v>
      </c>
      <c r="E89">
        <v>1560</v>
      </c>
      <c r="F89" t="s">
        <v>66</v>
      </c>
      <c r="G89" t="s">
        <v>67</v>
      </c>
      <c r="H89" t="s">
        <v>268</v>
      </c>
      <c r="I89">
        <v>2853.50141554225</v>
      </c>
      <c r="J89">
        <v>6497.5</v>
      </c>
      <c r="K89">
        <v>11784.77134512064</v>
      </c>
      <c r="L89" s="2">
        <v>45663</v>
      </c>
      <c r="M89" t="s">
        <v>268</v>
      </c>
      <c r="N89">
        <v>2</v>
      </c>
      <c r="O89" t="b">
        <v>0</v>
      </c>
      <c r="P89" s="3">
        <v>45663</v>
      </c>
      <c r="Q89">
        <v>12995</v>
      </c>
      <c r="R89" t="str">
        <f t="shared" ca="1" si="1"/>
        <v>13/05</v>
      </c>
    </row>
    <row r="90" spans="1:18" x14ac:dyDescent="0.3">
      <c r="A90" t="s">
        <v>269</v>
      </c>
      <c r="B90" t="s">
        <v>18</v>
      </c>
      <c r="C90" t="s">
        <v>24</v>
      </c>
      <c r="D90" s="2">
        <v>45916</v>
      </c>
      <c r="E90">
        <v>6142.53</v>
      </c>
      <c r="F90" t="s">
        <v>24</v>
      </c>
      <c r="G90" t="s">
        <v>25</v>
      </c>
      <c r="H90" t="s">
        <v>270</v>
      </c>
      <c r="I90">
        <v>2902.731229275345</v>
      </c>
      <c r="J90">
        <v>6126.6737955928766</v>
      </c>
      <c r="K90">
        <v>19134.66521932435</v>
      </c>
      <c r="L90" s="2">
        <v>45916</v>
      </c>
      <c r="M90" t="s">
        <v>271</v>
      </c>
      <c r="N90">
        <v>25</v>
      </c>
      <c r="O90" t="b">
        <v>0</v>
      </c>
      <c r="P90" s="3">
        <v>45762</v>
      </c>
      <c r="Q90">
        <v>393997.25</v>
      </c>
      <c r="R90" t="str">
        <f t="shared" ca="1" si="1"/>
        <v>16/06</v>
      </c>
    </row>
    <row r="91" spans="1:18" x14ac:dyDescent="0.3">
      <c r="A91" t="s">
        <v>272</v>
      </c>
      <c r="B91" t="s">
        <v>18</v>
      </c>
      <c r="C91" t="s">
        <v>24</v>
      </c>
      <c r="D91" s="2">
        <v>45897</v>
      </c>
      <c r="E91">
        <v>1199.23</v>
      </c>
      <c r="F91" t="s">
        <v>24</v>
      </c>
      <c r="G91" t="s">
        <v>25</v>
      </c>
      <c r="H91" t="s">
        <v>273</v>
      </c>
      <c r="I91">
        <v>860.07826829421515</v>
      </c>
      <c r="J91">
        <v>2251.2973907892242</v>
      </c>
      <c r="K91">
        <v>3736.1685734510179</v>
      </c>
      <c r="L91" s="2">
        <v>45898</v>
      </c>
      <c r="M91" t="s">
        <v>274</v>
      </c>
      <c r="N91">
        <v>12</v>
      </c>
      <c r="O91" t="b">
        <v>0</v>
      </c>
      <c r="P91" s="3">
        <v>45755</v>
      </c>
      <c r="Q91">
        <v>53885.69</v>
      </c>
      <c r="R91" t="str">
        <f t="shared" ca="1" si="1"/>
        <v>17/09</v>
      </c>
    </row>
    <row r="92" spans="1:18" x14ac:dyDescent="0.3">
      <c r="A92" t="s">
        <v>275</v>
      </c>
      <c r="B92" t="s">
        <v>18</v>
      </c>
      <c r="C92" t="s">
        <v>46</v>
      </c>
      <c r="D92" s="2">
        <v>45821</v>
      </c>
      <c r="E92">
        <v>12728.93</v>
      </c>
      <c r="F92" t="s">
        <v>46</v>
      </c>
      <c r="G92" t="s">
        <v>47</v>
      </c>
      <c r="H92" t="s">
        <v>276</v>
      </c>
      <c r="I92">
        <v>3132.737625511676</v>
      </c>
      <c r="J92">
        <v>5278.2469218492233</v>
      </c>
      <c r="K92">
        <v>9540.6990632290981</v>
      </c>
      <c r="L92" s="2">
        <v>45821</v>
      </c>
      <c r="M92" t="s">
        <v>277</v>
      </c>
      <c r="N92">
        <v>12</v>
      </c>
      <c r="O92" t="b">
        <v>0</v>
      </c>
      <c r="P92" s="3">
        <v>45749</v>
      </c>
      <c r="Q92">
        <v>96394.79</v>
      </c>
      <c r="R92" t="str">
        <f t="shared" ca="1" si="1"/>
        <v>29/11</v>
      </c>
    </row>
    <row r="93" spans="1:18" x14ac:dyDescent="0.3">
      <c r="A93" t="s">
        <v>278</v>
      </c>
      <c r="B93" t="s">
        <v>18</v>
      </c>
      <c r="C93" t="s">
        <v>29</v>
      </c>
      <c r="D93" s="2">
        <v>45917</v>
      </c>
      <c r="E93">
        <v>18313.810000000001</v>
      </c>
      <c r="F93" t="s">
        <v>24</v>
      </c>
      <c r="G93" t="s">
        <v>30</v>
      </c>
      <c r="H93" t="s">
        <v>279</v>
      </c>
      <c r="I93">
        <v>14596.939789180569</v>
      </c>
      <c r="J93">
        <v>30050.269975389219</v>
      </c>
      <c r="K93">
        <v>53207.143694170722</v>
      </c>
      <c r="L93" s="2">
        <v>45918</v>
      </c>
      <c r="M93" t="s">
        <v>280</v>
      </c>
      <c r="N93">
        <v>19</v>
      </c>
      <c r="O93" t="b">
        <v>0</v>
      </c>
      <c r="P93" s="3">
        <v>45733</v>
      </c>
      <c r="Q93">
        <v>669498.4</v>
      </c>
      <c r="R93" t="str">
        <f t="shared" ca="1" si="1"/>
        <v>12/01</v>
      </c>
    </row>
    <row r="94" spans="1:18" x14ac:dyDescent="0.3">
      <c r="A94" t="s">
        <v>281</v>
      </c>
      <c r="B94" t="s">
        <v>18</v>
      </c>
      <c r="C94" t="s">
        <v>29</v>
      </c>
      <c r="D94" s="2">
        <v>44879</v>
      </c>
      <c r="E94">
        <v>1304</v>
      </c>
      <c r="F94" t="s">
        <v>24</v>
      </c>
      <c r="G94" t="s">
        <v>282</v>
      </c>
      <c r="H94" t="s">
        <v>283</v>
      </c>
      <c r="I94">
        <v>1669.5781634944269</v>
      </c>
      <c r="J94">
        <v>3604.3049999999998</v>
      </c>
      <c r="K94">
        <v>9625.5613104096974</v>
      </c>
      <c r="L94" s="2">
        <v>44879</v>
      </c>
      <c r="M94" t="s">
        <v>284</v>
      </c>
      <c r="N94">
        <v>7</v>
      </c>
      <c r="O94" t="b">
        <v>0</v>
      </c>
      <c r="P94" s="3">
        <v>44440</v>
      </c>
      <c r="Q94">
        <v>46559.72</v>
      </c>
      <c r="R94" t="str">
        <f t="shared" ca="1" si="1"/>
        <v>04/06</v>
      </c>
    </row>
    <row r="95" spans="1:18" x14ac:dyDescent="0.3">
      <c r="A95" t="s">
        <v>285</v>
      </c>
      <c r="B95" t="s">
        <v>34</v>
      </c>
      <c r="C95" t="s">
        <v>29</v>
      </c>
      <c r="D95" s="2">
        <v>45733</v>
      </c>
      <c r="E95">
        <v>35700</v>
      </c>
      <c r="F95" t="s">
        <v>29</v>
      </c>
      <c r="G95" t="s">
        <v>39</v>
      </c>
      <c r="H95" t="s">
        <v>286</v>
      </c>
      <c r="I95">
        <v>35700</v>
      </c>
      <c r="J95">
        <v>35700</v>
      </c>
      <c r="K95">
        <v>35700</v>
      </c>
      <c r="L95" s="2">
        <v>45763</v>
      </c>
      <c r="M95" t="s">
        <v>286</v>
      </c>
      <c r="N95">
        <v>1</v>
      </c>
      <c r="O95" t="b">
        <v>0</v>
      </c>
      <c r="P95" s="3">
        <v>45733</v>
      </c>
      <c r="Q95">
        <v>35700</v>
      </c>
      <c r="R95" t="str">
        <f t="shared" ca="1" si="1"/>
        <v>01/09</v>
      </c>
    </row>
    <row r="96" spans="1:18" x14ac:dyDescent="0.3">
      <c r="A96" t="s">
        <v>287</v>
      </c>
      <c r="B96" t="s">
        <v>18</v>
      </c>
      <c r="C96" t="s">
        <v>66</v>
      </c>
      <c r="D96" s="2">
        <v>45785</v>
      </c>
      <c r="E96">
        <v>250</v>
      </c>
      <c r="F96" t="s">
        <v>66</v>
      </c>
      <c r="G96" t="s">
        <v>67</v>
      </c>
      <c r="H96" t="s">
        <v>188</v>
      </c>
      <c r="I96">
        <v>249.40031205036749</v>
      </c>
      <c r="J96">
        <v>500</v>
      </c>
      <c r="K96">
        <v>499.21417517344452</v>
      </c>
      <c r="L96" s="2">
        <v>45785</v>
      </c>
      <c r="M96" t="s">
        <v>288</v>
      </c>
      <c r="N96">
        <v>3</v>
      </c>
      <c r="O96" t="b">
        <v>0</v>
      </c>
      <c r="P96" s="3">
        <v>45785</v>
      </c>
      <c r="Q96">
        <v>2529</v>
      </c>
      <c r="R96" t="str">
        <f t="shared" ca="1" si="1"/>
        <v>27/04</v>
      </c>
    </row>
    <row r="97" spans="1:18" x14ac:dyDescent="0.3">
      <c r="A97" t="s">
        <v>289</v>
      </c>
      <c r="B97" t="s">
        <v>18</v>
      </c>
      <c r="C97" t="s">
        <v>46</v>
      </c>
      <c r="D97" s="2">
        <v>45811</v>
      </c>
      <c r="E97">
        <v>32030.400000000001</v>
      </c>
      <c r="F97" t="s">
        <v>46</v>
      </c>
      <c r="G97" t="s">
        <v>47</v>
      </c>
      <c r="H97" t="s">
        <v>290</v>
      </c>
      <c r="I97">
        <v>10016.27247544226</v>
      </c>
      <c r="J97">
        <v>32030.400000000001</v>
      </c>
      <c r="K97">
        <v>47012.640653167109</v>
      </c>
      <c r="L97" s="2">
        <v>45811</v>
      </c>
      <c r="M97" t="s">
        <v>291</v>
      </c>
      <c r="N97">
        <v>3</v>
      </c>
      <c r="O97" t="b">
        <v>0</v>
      </c>
      <c r="P97" s="3">
        <v>45811</v>
      </c>
      <c r="Q97">
        <v>95866.200000000012</v>
      </c>
      <c r="R97" t="str">
        <f t="shared" ca="1" si="1"/>
        <v>12/12</v>
      </c>
    </row>
    <row r="98" spans="1:18" x14ac:dyDescent="0.3">
      <c r="A98" t="s">
        <v>292</v>
      </c>
      <c r="B98" t="s">
        <v>18</v>
      </c>
      <c r="C98" t="s">
        <v>46</v>
      </c>
      <c r="D98" s="2">
        <v>45919</v>
      </c>
      <c r="E98">
        <v>19174.78</v>
      </c>
      <c r="F98" t="s">
        <v>46</v>
      </c>
      <c r="G98" t="s">
        <v>47</v>
      </c>
      <c r="H98" t="s">
        <v>293</v>
      </c>
      <c r="I98">
        <v>5605.4220930468982</v>
      </c>
      <c r="J98">
        <v>12858.02</v>
      </c>
      <c r="K98">
        <v>23834.98849532448</v>
      </c>
      <c r="L98" s="2">
        <v>45922</v>
      </c>
      <c r="M98" t="s">
        <v>294</v>
      </c>
      <c r="N98">
        <v>6</v>
      </c>
      <c r="O98" t="b">
        <v>0</v>
      </c>
      <c r="P98" s="3">
        <v>45887</v>
      </c>
      <c r="Q98">
        <v>86488.35</v>
      </c>
      <c r="R98" t="str">
        <f t="shared" ca="1" si="1"/>
        <v>08/05</v>
      </c>
    </row>
    <row r="99" spans="1:18" x14ac:dyDescent="0.3">
      <c r="A99" t="s">
        <v>295</v>
      </c>
      <c r="B99" t="s">
        <v>18</v>
      </c>
      <c r="C99" t="s">
        <v>66</v>
      </c>
      <c r="D99" s="2">
        <v>45855</v>
      </c>
      <c r="E99">
        <v>2100</v>
      </c>
      <c r="F99" t="s">
        <v>66</v>
      </c>
      <c r="G99" t="s">
        <v>67</v>
      </c>
      <c r="H99" t="s">
        <v>296</v>
      </c>
      <c r="I99">
        <v>199.40031205036749</v>
      </c>
      <c r="J99">
        <v>450</v>
      </c>
      <c r="K99">
        <v>451.36927160605109</v>
      </c>
      <c r="L99" s="2">
        <v>45855</v>
      </c>
      <c r="M99" t="s">
        <v>297</v>
      </c>
      <c r="N99">
        <v>6</v>
      </c>
      <c r="O99" t="b">
        <v>0</v>
      </c>
      <c r="P99" s="3">
        <v>45849</v>
      </c>
      <c r="Q99">
        <v>4275</v>
      </c>
      <c r="R99" t="str">
        <f t="shared" ca="1" si="1"/>
        <v>11/06</v>
      </c>
    </row>
    <row r="100" spans="1:18" x14ac:dyDescent="0.3">
      <c r="A100" t="s">
        <v>298</v>
      </c>
      <c r="B100" t="s">
        <v>34</v>
      </c>
      <c r="C100" t="s">
        <v>24</v>
      </c>
      <c r="D100" s="2">
        <v>45853</v>
      </c>
      <c r="E100">
        <v>49734.91</v>
      </c>
      <c r="F100" t="s">
        <v>24</v>
      </c>
      <c r="G100" t="s">
        <v>25</v>
      </c>
      <c r="H100" t="s">
        <v>299</v>
      </c>
      <c r="I100">
        <v>49734.91</v>
      </c>
      <c r="J100">
        <v>49734.91</v>
      </c>
      <c r="K100">
        <v>49734.91</v>
      </c>
      <c r="L100" s="2">
        <v>45883</v>
      </c>
      <c r="M100" t="s">
        <v>299</v>
      </c>
      <c r="N100">
        <v>1</v>
      </c>
      <c r="O100" t="b">
        <v>0</v>
      </c>
      <c r="P100" s="3">
        <v>45853</v>
      </c>
      <c r="Q100">
        <v>49734.91</v>
      </c>
      <c r="R100" t="str">
        <f t="shared" ca="1" si="1"/>
        <v>04/06</v>
      </c>
    </row>
    <row r="101" spans="1:18" x14ac:dyDescent="0.3">
      <c r="A101" t="s">
        <v>300</v>
      </c>
      <c r="B101" t="s">
        <v>18</v>
      </c>
      <c r="C101" t="s">
        <v>19</v>
      </c>
      <c r="D101" s="2">
        <v>45924</v>
      </c>
      <c r="E101">
        <v>960.14</v>
      </c>
      <c r="F101" t="s">
        <v>24</v>
      </c>
      <c r="G101" t="s">
        <v>210</v>
      </c>
      <c r="H101" t="s">
        <v>301</v>
      </c>
      <c r="I101">
        <v>502.85700665778683</v>
      </c>
      <c r="J101">
        <v>960.14</v>
      </c>
      <c r="K101">
        <v>8732.6733221124287</v>
      </c>
      <c r="L101" s="2">
        <v>45948</v>
      </c>
      <c r="M101" t="s">
        <v>302</v>
      </c>
      <c r="N101">
        <v>3</v>
      </c>
      <c r="O101" t="b">
        <v>0</v>
      </c>
      <c r="P101" s="3">
        <v>45876</v>
      </c>
      <c r="Q101">
        <v>27084.04</v>
      </c>
      <c r="R101" t="str">
        <f t="shared" ca="1" si="1"/>
        <v>25/03</v>
      </c>
    </row>
    <row r="102" spans="1:18" x14ac:dyDescent="0.3">
      <c r="A102" t="s">
        <v>303</v>
      </c>
      <c r="B102" t="s">
        <v>18</v>
      </c>
      <c r="C102" t="s">
        <v>24</v>
      </c>
      <c r="D102" s="2">
        <v>45924</v>
      </c>
      <c r="E102">
        <v>3213.51</v>
      </c>
      <c r="F102" t="s">
        <v>24</v>
      </c>
      <c r="G102" t="s">
        <v>25</v>
      </c>
      <c r="H102" t="s">
        <v>304</v>
      </c>
      <c r="I102">
        <v>2204.5919745577539</v>
      </c>
      <c r="J102">
        <v>3811.81</v>
      </c>
      <c r="K102">
        <v>5853.6204376646356</v>
      </c>
      <c r="L102" s="2">
        <v>45947</v>
      </c>
      <c r="M102" t="s">
        <v>305</v>
      </c>
      <c r="N102">
        <v>4</v>
      </c>
      <c r="O102" t="b">
        <v>0</v>
      </c>
      <c r="P102" s="3">
        <v>45870</v>
      </c>
      <c r="Q102">
        <v>15843.53</v>
      </c>
      <c r="R102" t="str">
        <f t="shared" ca="1" si="1"/>
        <v>02/03</v>
      </c>
    </row>
    <row r="103" spans="1:18" x14ac:dyDescent="0.3">
      <c r="A103" t="s">
        <v>306</v>
      </c>
      <c r="B103" t="s">
        <v>18</v>
      </c>
      <c r="C103" t="s">
        <v>24</v>
      </c>
      <c r="D103" s="2">
        <v>44676</v>
      </c>
      <c r="E103">
        <v>3940.44</v>
      </c>
      <c r="F103" t="s">
        <v>24</v>
      </c>
      <c r="G103" t="s">
        <v>25</v>
      </c>
      <c r="H103" t="s">
        <v>307</v>
      </c>
      <c r="I103">
        <v>6844.5065740775026</v>
      </c>
      <c r="J103">
        <v>19521.352295592878</v>
      </c>
      <c r="K103">
        <v>35873.788559557688</v>
      </c>
      <c r="L103" s="2">
        <v>44692</v>
      </c>
      <c r="M103" t="s">
        <v>308</v>
      </c>
      <c r="N103">
        <v>12</v>
      </c>
      <c r="O103" t="b">
        <v>0</v>
      </c>
      <c r="P103" s="3">
        <v>44460</v>
      </c>
      <c r="Q103">
        <v>233287.54</v>
      </c>
      <c r="R103" t="str">
        <f t="shared" ca="1" si="1"/>
        <v>31/07</v>
      </c>
    </row>
    <row r="104" spans="1:18" x14ac:dyDescent="0.3">
      <c r="A104" t="s">
        <v>309</v>
      </c>
      <c r="B104" t="s">
        <v>18</v>
      </c>
      <c r="C104" t="s">
        <v>66</v>
      </c>
      <c r="D104" s="2">
        <v>45911</v>
      </c>
      <c r="E104">
        <v>80943.908192000003</v>
      </c>
      <c r="F104" t="s">
        <v>66</v>
      </c>
      <c r="G104" t="s">
        <v>67</v>
      </c>
      <c r="H104" t="s">
        <v>310</v>
      </c>
      <c r="I104">
        <v>54854.097308973593</v>
      </c>
      <c r="J104">
        <v>77814.931719999993</v>
      </c>
      <c r="K104">
        <v>145053.56088700419</v>
      </c>
      <c r="L104" s="2">
        <v>45945</v>
      </c>
      <c r="M104" t="s">
        <v>310</v>
      </c>
      <c r="N104">
        <v>2</v>
      </c>
      <c r="O104" t="b">
        <v>0</v>
      </c>
      <c r="P104" s="3">
        <v>45877</v>
      </c>
      <c r="Q104">
        <v>155629.86343999999</v>
      </c>
      <c r="R104" t="str">
        <f t="shared" ca="1" si="1"/>
        <v>19/08</v>
      </c>
    </row>
    <row r="105" spans="1:18" x14ac:dyDescent="0.3">
      <c r="A105" t="s">
        <v>311</v>
      </c>
      <c r="B105" t="s">
        <v>18</v>
      </c>
      <c r="C105" t="s">
        <v>29</v>
      </c>
      <c r="D105" s="2">
        <v>45895</v>
      </c>
      <c r="E105">
        <v>21793.919999999998</v>
      </c>
      <c r="F105" t="s">
        <v>24</v>
      </c>
      <c r="G105" t="s">
        <v>35</v>
      </c>
      <c r="H105" t="s">
        <v>312</v>
      </c>
      <c r="I105">
        <v>10320.116955831771</v>
      </c>
      <c r="J105">
        <v>21793.919999999998</v>
      </c>
      <c r="K105">
        <v>34859.449825285737</v>
      </c>
      <c r="L105" s="2">
        <v>45895</v>
      </c>
      <c r="M105" t="s">
        <v>313</v>
      </c>
      <c r="N105">
        <v>5</v>
      </c>
      <c r="O105" t="b">
        <v>0</v>
      </c>
      <c r="P105" s="3">
        <v>45891</v>
      </c>
      <c r="Q105">
        <v>99583.79</v>
      </c>
      <c r="R105" t="str">
        <f t="shared" ca="1" si="1"/>
        <v>02/01</v>
      </c>
    </row>
    <row r="106" spans="1:18" x14ac:dyDescent="0.3">
      <c r="A106" t="s">
        <v>314</v>
      </c>
      <c r="B106" t="s">
        <v>18</v>
      </c>
      <c r="C106" t="s">
        <v>46</v>
      </c>
      <c r="D106" s="2">
        <v>45901</v>
      </c>
      <c r="E106">
        <v>66864.990000000005</v>
      </c>
      <c r="F106" t="s">
        <v>46</v>
      </c>
      <c r="G106" t="s">
        <v>47</v>
      </c>
      <c r="H106" t="s">
        <v>315</v>
      </c>
      <c r="I106">
        <v>39129.421122794607</v>
      </c>
      <c r="J106">
        <v>59253.276392692867</v>
      </c>
      <c r="K106">
        <v>122842.1093322637</v>
      </c>
      <c r="L106" s="2">
        <v>45901</v>
      </c>
      <c r="M106" t="s">
        <v>316</v>
      </c>
      <c r="N106">
        <v>10</v>
      </c>
      <c r="O106" t="b">
        <v>0</v>
      </c>
      <c r="P106" s="3">
        <v>45898</v>
      </c>
      <c r="Q106">
        <v>523774.79</v>
      </c>
      <c r="R106" t="str">
        <f t="shared" ca="1" si="1"/>
        <v>24/07</v>
      </c>
    </row>
    <row r="107" spans="1:18" x14ac:dyDescent="0.3">
      <c r="A107" t="s">
        <v>317</v>
      </c>
      <c r="B107" t="s">
        <v>34</v>
      </c>
      <c r="C107" t="s">
        <v>29</v>
      </c>
      <c r="D107" s="2">
        <v>45926</v>
      </c>
      <c r="E107">
        <v>10000</v>
      </c>
      <c r="F107" t="s">
        <v>29</v>
      </c>
      <c r="G107" t="s">
        <v>39</v>
      </c>
      <c r="H107" t="s">
        <v>57</v>
      </c>
      <c r="I107">
        <v>10000</v>
      </c>
      <c r="J107">
        <v>10000</v>
      </c>
      <c r="K107">
        <v>10000</v>
      </c>
      <c r="L107" s="2">
        <v>45956</v>
      </c>
      <c r="M107" t="s">
        <v>57</v>
      </c>
      <c r="N107">
        <v>1</v>
      </c>
      <c r="O107" t="b">
        <v>0</v>
      </c>
      <c r="P107" s="3">
        <v>45926</v>
      </c>
      <c r="Q107">
        <v>10000</v>
      </c>
      <c r="R107" t="str">
        <f t="shared" ca="1" si="1"/>
        <v>22/06</v>
      </c>
    </row>
    <row r="108" spans="1:18" x14ac:dyDescent="0.3">
      <c r="A108" t="s">
        <v>318</v>
      </c>
      <c r="B108" t="s">
        <v>34</v>
      </c>
      <c r="C108" t="s">
        <v>29</v>
      </c>
      <c r="D108" s="2">
        <v>44460</v>
      </c>
      <c r="E108">
        <v>2000</v>
      </c>
      <c r="F108" t="s">
        <v>29</v>
      </c>
      <c r="G108" t="s">
        <v>39</v>
      </c>
      <c r="H108" t="s">
        <v>319</v>
      </c>
      <c r="I108">
        <v>2000</v>
      </c>
      <c r="J108">
        <v>2000</v>
      </c>
      <c r="K108">
        <v>2000</v>
      </c>
      <c r="L108" s="2">
        <v>44490</v>
      </c>
      <c r="M108" t="s">
        <v>319</v>
      </c>
      <c r="N108">
        <v>1</v>
      </c>
      <c r="O108" t="b">
        <v>0</v>
      </c>
      <c r="P108" s="3">
        <v>44460</v>
      </c>
      <c r="Q108">
        <v>2000</v>
      </c>
      <c r="R108" t="str">
        <f t="shared" ca="1" si="1"/>
        <v>11/02</v>
      </c>
    </row>
    <row r="109" spans="1:18" x14ac:dyDescent="0.3">
      <c r="A109" t="s">
        <v>320</v>
      </c>
      <c r="B109" t="s">
        <v>18</v>
      </c>
      <c r="C109" t="s">
        <v>19</v>
      </c>
      <c r="D109" s="2">
        <v>45593</v>
      </c>
      <c r="E109">
        <v>36647.58</v>
      </c>
      <c r="F109" t="s">
        <v>19</v>
      </c>
      <c r="G109" t="s">
        <v>20</v>
      </c>
      <c r="H109" t="s">
        <v>321</v>
      </c>
      <c r="I109">
        <v>2512.7730129503188</v>
      </c>
      <c r="J109">
        <v>6037.2622955928773</v>
      </c>
      <c r="K109">
        <v>13451.144485428689</v>
      </c>
      <c r="L109" s="2">
        <v>45597</v>
      </c>
      <c r="M109" t="s">
        <v>322</v>
      </c>
      <c r="N109">
        <v>57</v>
      </c>
      <c r="O109" t="b">
        <v>1</v>
      </c>
      <c r="P109" s="3">
        <v>44460</v>
      </c>
      <c r="Q109">
        <v>416390.38</v>
      </c>
      <c r="R109" t="str">
        <f t="shared" ca="1" si="1"/>
        <v>04/04</v>
      </c>
    </row>
    <row r="110" spans="1:18" x14ac:dyDescent="0.3">
      <c r="A110" t="s">
        <v>323</v>
      </c>
      <c r="B110" t="s">
        <v>34</v>
      </c>
      <c r="C110" t="s">
        <v>29</v>
      </c>
      <c r="D110" s="2">
        <v>44466</v>
      </c>
      <c r="E110">
        <v>5000</v>
      </c>
      <c r="F110" t="s">
        <v>29</v>
      </c>
      <c r="G110" t="s">
        <v>39</v>
      </c>
      <c r="H110" t="s">
        <v>324</v>
      </c>
      <c r="I110">
        <v>5000</v>
      </c>
      <c r="J110">
        <v>5000</v>
      </c>
      <c r="K110">
        <v>5000</v>
      </c>
      <c r="L110" s="2">
        <v>44496</v>
      </c>
      <c r="M110" t="s">
        <v>324</v>
      </c>
      <c r="N110">
        <v>1</v>
      </c>
      <c r="O110" t="b">
        <v>0</v>
      </c>
      <c r="P110" s="3">
        <v>44466</v>
      </c>
      <c r="Q110">
        <v>5000</v>
      </c>
      <c r="R110" t="str">
        <f t="shared" ca="1" si="1"/>
        <v>26/07</v>
      </c>
    </row>
    <row r="111" spans="1:18" x14ac:dyDescent="0.3">
      <c r="A111" t="s">
        <v>325</v>
      </c>
      <c r="B111" t="s">
        <v>18</v>
      </c>
      <c r="C111" t="s">
        <v>19</v>
      </c>
      <c r="D111" s="2">
        <v>44725</v>
      </c>
      <c r="E111">
        <v>14888.37</v>
      </c>
      <c r="F111" t="s">
        <v>46</v>
      </c>
      <c r="G111" t="s">
        <v>35</v>
      </c>
      <c r="H111" t="s">
        <v>326</v>
      </c>
      <c r="I111">
        <v>10924.26790184303</v>
      </c>
      <c r="J111">
        <v>16273.18</v>
      </c>
      <c r="K111">
        <v>27346.191970894819</v>
      </c>
      <c r="L111" s="2">
        <v>44777</v>
      </c>
      <c r="M111" t="s">
        <v>327</v>
      </c>
      <c r="N111">
        <v>5</v>
      </c>
      <c r="O111" t="b">
        <v>0</v>
      </c>
      <c r="P111" s="3">
        <v>44466</v>
      </c>
      <c r="Q111">
        <v>95335.7</v>
      </c>
      <c r="R111" t="str">
        <f t="shared" ca="1" si="1"/>
        <v>05/07</v>
      </c>
    </row>
    <row r="112" spans="1:18" x14ac:dyDescent="0.3">
      <c r="A112" t="s">
        <v>328</v>
      </c>
      <c r="B112" t="s">
        <v>34</v>
      </c>
      <c r="C112" t="s">
        <v>29</v>
      </c>
      <c r="D112" s="2">
        <v>44466</v>
      </c>
      <c r="E112">
        <v>3300</v>
      </c>
      <c r="F112" t="s">
        <v>29</v>
      </c>
      <c r="G112" t="s">
        <v>39</v>
      </c>
      <c r="H112" t="s">
        <v>329</v>
      </c>
      <c r="I112">
        <v>3300</v>
      </c>
      <c r="J112">
        <v>3300</v>
      </c>
      <c r="K112">
        <v>3300</v>
      </c>
      <c r="L112" s="2">
        <v>44496</v>
      </c>
      <c r="M112" t="s">
        <v>329</v>
      </c>
      <c r="N112">
        <v>1</v>
      </c>
      <c r="O112" t="b">
        <v>0</v>
      </c>
      <c r="P112" s="3">
        <v>44466</v>
      </c>
      <c r="Q112">
        <v>3300</v>
      </c>
      <c r="R112" t="str">
        <f t="shared" ca="1" si="1"/>
        <v>06/11</v>
      </c>
    </row>
    <row r="113" spans="1:18" x14ac:dyDescent="0.3">
      <c r="A113" t="s">
        <v>330</v>
      </c>
      <c r="B113" t="s">
        <v>38</v>
      </c>
      <c r="C113" t="s">
        <v>19</v>
      </c>
      <c r="D113" s="2">
        <v>45751</v>
      </c>
      <c r="E113">
        <v>31983.14</v>
      </c>
      <c r="F113" t="s">
        <v>19</v>
      </c>
      <c r="G113" t="s">
        <v>20</v>
      </c>
      <c r="H113" t="s">
        <v>331</v>
      </c>
      <c r="I113">
        <v>12977.81771819413</v>
      </c>
      <c r="J113">
        <v>16610.98</v>
      </c>
      <c r="K113">
        <v>40284.321592029177</v>
      </c>
      <c r="L113" s="2">
        <v>45829</v>
      </c>
      <c r="M113" t="s">
        <v>332</v>
      </c>
      <c r="N113">
        <v>6</v>
      </c>
      <c r="O113" t="b">
        <v>0</v>
      </c>
      <c r="P113" s="3">
        <v>44637</v>
      </c>
      <c r="Q113">
        <v>451277.55</v>
      </c>
      <c r="R113" t="str">
        <f t="shared" ca="1" si="1"/>
        <v>23/07</v>
      </c>
    </row>
    <row r="114" spans="1:18" x14ac:dyDescent="0.3">
      <c r="A114" t="s">
        <v>333</v>
      </c>
      <c r="B114" t="s">
        <v>18</v>
      </c>
      <c r="C114" t="s">
        <v>24</v>
      </c>
      <c r="D114" s="2">
        <v>45902</v>
      </c>
      <c r="E114">
        <v>7130.58</v>
      </c>
      <c r="F114" t="s">
        <v>66</v>
      </c>
      <c r="G114" t="s">
        <v>30</v>
      </c>
      <c r="H114" t="s">
        <v>334</v>
      </c>
      <c r="I114">
        <v>2538.8750702753468</v>
      </c>
      <c r="J114">
        <v>6868.6237955928764</v>
      </c>
      <c r="K114">
        <v>20232.343053002111</v>
      </c>
      <c r="L114" s="2">
        <v>45906</v>
      </c>
      <c r="M114" t="s">
        <v>335</v>
      </c>
      <c r="N114">
        <v>37</v>
      </c>
      <c r="O114" t="b">
        <v>0</v>
      </c>
      <c r="P114" s="3">
        <v>44564</v>
      </c>
      <c r="Q114">
        <v>565267.93999999994</v>
      </c>
      <c r="R114" t="str">
        <f t="shared" ca="1" si="1"/>
        <v>09/03</v>
      </c>
    </row>
    <row r="115" spans="1:18" x14ac:dyDescent="0.3">
      <c r="A115" t="s">
        <v>336</v>
      </c>
      <c r="B115" t="s">
        <v>38</v>
      </c>
      <c r="C115" t="s">
        <v>29</v>
      </c>
      <c r="D115" s="2">
        <v>45755</v>
      </c>
      <c r="E115">
        <v>1793</v>
      </c>
      <c r="F115" t="s">
        <v>29</v>
      </c>
      <c r="G115" t="s">
        <v>39</v>
      </c>
      <c r="H115" t="s">
        <v>337</v>
      </c>
      <c r="I115">
        <v>15105.33856865598</v>
      </c>
      <c r="J115">
        <v>29036</v>
      </c>
      <c r="K115">
        <v>48678.276222772583</v>
      </c>
      <c r="L115" s="2">
        <v>45756</v>
      </c>
      <c r="M115" t="s">
        <v>338</v>
      </c>
      <c r="N115">
        <v>8</v>
      </c>
      <c r="O115" t="b">
        <v>0</v>
      </c>
      <c r="P115" s="3">
        <v>44658</v>
      </c>
      <c r="Q115">
        <v>192697.82</v>
      </c>
      <c r="R115" t="str">
        <f t="shared" ca="1" si="1"/>
        <v>28/04</v>
      </c>
    </row>
    <row r="116" spans="1:18" x14ac:dyDescent="0.3">
      <c r="A116" t="s">
        <v>339</v>
      </c>
      <c r="B116" t="s">
        <v>18</v>
      </c>
      <c r="C116" t="s">
        <v>24</v>
      </c>
      <c r="D116" s="2">
        <v>45890</v>
      </c>
      <c r="E116">
        <v>68910.509999999995</v>
      </c>
      <c r="F116" t="s">
        <v>24</v>
      </c>
      <c r="G116" t="s">
        <v>25</v>
      </c>
      <c r="H116" t="s">
        <v>340</v>
      </c>
      <c r="I116">
        <v>4712.6106286683807</v>
      </c>
      <c r="J116">
        <v>16810.26739078922</v>
      </c>
      <c r="K116">
        <v>43642.986356966372</v>
      </c>
      <c r="L116" s="2">
        <v>45893</v>
      </c>
      <c r="M116" t="s">
        <v>341</v>
      </c>
      <c r="N116">
        <v>114</v>
      </c>
      <c r="O116" t="b">
        <v>1</v>
      </c>
      <c r="P116" s="3">
        <v>44440</v>
      </c>
      <c r="Q116">
        <v>3101405.38</v>
      </c>
      <c r="R116" t="str">
        <f t="shared" ca="1" si="1"/>
        <v>01/05</v>
      </c>
    </row>
    <row r="117" spans="1:18" x14ac:dyDescent="0.3">
      <c r="A117" t="s">
        <v>342</v>
      </c>
      <c r="B117" t="s">
        <v>34</v>
      </c>
      <c r="C117" t="s">
        <v>29</v>
      </c>
      <c r="D117" s="2">
        <v>45082</v>
      </c>
      <c r="E117">
        <v>8218.64</v>
      </c>
      <c r="F117" t="s">
        <v>29</v>
      </c>
      <c r="G117" t="s">
        <v>39</v>
      </c>
      <c r="H117" t="s">
        <v>343</v>
      </c>
      <c r="I117">
        <v>8218.64</v>
      </c>
      <c r="J117">
        <v>8218.64</v>
      </c>
      <c r="K117">
        <v>8218.64</v>
      </c>
      <c r="L117" s="2">
        <v>45112</v>
      </c>
      <c r="M117" t="s">
        <v>343</v>
      </c>
      <c r="N117">
        <v>1</v>
      </c>
      <c r="O117" t="b">
        <v>0</v>
      </c>
      <c r="P117" s="3">
        <v>45082</v>
      </c>
      <c r="Q117">
        <v>8218.64</v>
      </c>
      <c r="R117" t="str">
        <f t="shared" ca="1" si="1"/>
        <v>02/07</v>
      </c>
    </row>
    <row r="118" spans="1:18" x14ac:dyDescent="0.3">
      <c r="A118" t="s">
        <v>344</v>
      </c>
      <c r="B118" t="s">
        <v>34</v>
      </c>
      <c r="C118" t="s">
        <v>19</v>
      </c>
      <c r="D118" s="2">
        <v>44526</v>
      </c>
      <c r="E118">
        <v>40162.17</v>
      </c>
      <c r="F118" t="s">
        <v>29</v>
      </c>
      <c r="G118" t="s">
        <v>35</v>
      </c>
      <c r="H118" t="s">
        <v>345</v>
      </c>
      <c r="I118">
        <v>40162.17</v>
      </c>
      <c r="J118">
        <v>40162.17</v>
      </c>
      <c r="K118">
        <v>40162.17</v>
      </c>
      <c r="L118" s="2">
        <v>44556</v>
      </c>
      <c r="M118" t="s">
        <v>345</v>
      </c>
      <c r="N118">
        <v>1</v>
      </c>
      <c r="O118" t="b">
        <v>0</v>
      </c>
      <c r="P118" s="3">
        <v>44526</v>
      </c>
      <c r="Q118">
        <v>40162.17</v>
      </c>
      <c r="R118" t="str">
        <f t="shared" ca="1" si="1"/>
        <v>18/01</v>
      </c>
    </row>
    <row r="119" spans="1:18" x14ac:dyDescent="0.3">
      <c r="A119" t="s">
        <v>346</v>
      </c>
      <c r="B119" t="s">
        <v>38</v>
      </c>
      <c r="C119" t="s">
        <v>24</v>
      </c>
      <c r="D119" s="2">
        <v>45880</v>
      </c>
      <c r="E119">
        <v>1331.99</v>
      </c>
      <c r="F119" t="s">
        <v>24</v>
      </c>
      <c r="G119" t="s">
        <v>25</v>
      </c>
      <c r="H119" t="s">
        <v>347</v>
      </c>
      <c r="I119">
        <v>641.62246949695509</v>
      </c>
      <c r="J119">
        <v>1569.317317715894</v>
      </c>
      <c r="K119">
        <v>4713.0094599915847</v>
      </c>
      <c r="L119" s="2">
        <v>46034</v>
      </c>
      <c r="M119" t="s">
        <v>348</v>
      </c>
      <c r="N119">
        <v>4</v>
      </c>
      <c r="O119" t="b">
        <v>0</v>
      </c>
      <c r="P119" s="3">
        <v>44469</v>
      </c>
      <c r="Q119">
        <v>31915.15</v>
      </c>
      <c r="R119" t="str">
        <f t="shared" ca="1" si="1"/>
        <v>11/12</v>
      </c>
    </row>
    <row r="120" spans="1:18" x14ac:dyDescent="0.3">
      <c r="A120" t="s">
        <v>349</v>
      </c>
      <c r="B120" t="s">
        <v>18</v>
      </c>
      <c r="C120" t="s">
        <v>46</v>
      </c>
      <c r="D120" s="2">
        <v>44470</v>
      </c>
      <c r="E120">
        <v>287056.48</v>
      </c>
      <c r="F120" t="s">
        <v>46</v>
      </c>
      <c r="G120" t="s">
        <v>47</v>
      </c>
      <c r="H120" t="s">
        <v>350</v>
      </c>
      <c r="I120">
        <v>14097.550299005739</v>
      </c>
      <c r="J120">
        <v>20525.986874999999</v>
      </c>
      <c r="K120">
        <v>313339.17467953521</v>
      </c>
      <c r="L120" s="2">
        <v>44470</v>
      </c>
      <c r="M120" t="s">
        <v>351</v>
      </c>
      <c r="N120">
        <v>6</v>
      </c>
      <c r="O120" t="b">
        <v>0</v>
      </c>
      <c r="P120" s="3">
        <v>44470</v>
      </c>
      <c r="Q120">
        <v>676218.40999999992</v>
      </c>
      <c r="R120" t="str">
        <f t="shared" ca="1" si="1"/>
        <v>18/01</v>
      </c>
    </row>
    <row r="121" spans="1:18" x14ac:dyDescent="0.3">
      <c r="A121" t="s">
        <v>352</v>
      </c>
      <c r="B121" t="s">
        <v>38</v>
      </c>
      <c r="C121" t="s">
        <v>19</v>
      </c>
      <c r="D121" s="2">
        <v>45755</v>
      </c>
      <c r="E121">
        <v>12962.6</v>
      </c>
      <c r="F121" t="s">
        <v>19</v>
      </c>
      <c r="G121" t="s">
        <v>20</v>
      </c>
      <c r="H121" t="s">
        <v>353</v>
      </c>
      <c r="I121">
        <v>3007.6507188537662</v>
      </c>
      <c r="J121">
        <v>9993.5149999999994</v>
      </c>
      <c r="K121">
        <v>18909.69052632499</v>
      </c>
      <c r="L121" s="2">
        <v>45762</v>
      </c>
      <c r="M121" t="s">
        <v>354</v>
      </c>
      <c r="N121">
        <v>19</v>
      </c>
      <c r="O121" t="b">
        <v>0</v>
      </c>
      <c r="P121" s="3">
        <v>44474</v>
      </c>
      <c r="Q121">
        <v>365613.47</v>
      </c>
      <c r="R121" t="str">
        <f t="shared" ca="1" si="1"/>
        <v>09/12</v>
      </c>
    </row>
    <row r="122" spans="1:18" x14ac:dyDescent="0.3">
      <c r="A122" t="s">
        <v>355</v>
      </c>
      <c r="B122" t="s">
        <v>18</v>
      </c>
      <c r="C122" t="s">
        <v>24</v>
      </c>
      <c r="D122" s="2">
        <v>45905</v>
      </c>
      <c r="E122">
        <v>2582.0100000000002</v>
      </c>
      <c r="F122" t="s">
        <v>24</v>
      </c>
      <c r="G122" t="s">
        <v>25</v>
      </c>
      <c r="H122" t="s">
        <v>356</v>
      </c>
      <c r="I122">
        <v>1019.230052296242</v>
      </c>
      <c r="J122">
        <v>2850.4593372492241</v>
      </c>
      <c r="K122">
        <v>5083.6145758003859</v>
      </c>
      <c r="L122" s="2">
        <v>45910</v>
      </c>
      <c r="M122" t="s">
        <v>357</v>
      </c>
      <c r="N122">
        <v>148</v>
      </c>
      <c r="O122" t="b">
        <v>1</v>
      </c>
      <c r="P122" s="3">
        <v>44474</v>
      </c>
      <c r="Q122">
        <v>498918.58</v>
      </c>
      <c r="R122" t="str">
        <f t="shared" ca="1" si="1"/>
        <v>26/11</v>
      </c>
    </row>
    <row r="123" spans="1:18" x14ac:dyDescent="0.3">
      <c r="A123" t="s">
        <v>358</v>
      </c>
      <c r="B123" t="s">
        <v>18</v>
      </c>
      <c r="C123" t="s">
        <v>19</v>
      </c>
      <c r="D123" s="2">
        <v>45918</v>
      </c>
      <c r="E123">
        <v>3988.36</v>
      </c>
      <c r="F123" t="s">
        <v>19</v>
      </c>
      <c r="G123" t="s">
        <v>20</v>
      </c>
      <c r="H123" t="s">
        <v>359</v>
      </c>
      <c r="I123">
        <v>744.1243567124061</v>
      </c>
      <c r="J123">
        <v>3244.932390789224</v>
      </c>
      <c r="K123">
        <v>8692.778565469187</v>
      </c>
      <c r="L123" s="2">
        <v>45918</v>
      </c>
      <c r="M123" t="s">
        <v>360</v>
      </c>
      <c r="N123">
        <v>78</v>
      </c>
      <c r="O123" t="b">
        <v>1</v>
      </c>
      <c r="P123" s="3">
        <v>44474</v>
      </c>
      <c r="Q123">
        <v>521027.01620800002</v>
      </c>
      <c r="R123" t="str">
        <f t="shared" ca="1" si="1"/>
        <v>29/03</v>
      </c>
    </row>
    <row r="124" spans="1:18" x14ac:dyDescent="0.3">
      <c r="A124" t="s">
        <v>361</v>
      </c>
      <c r="B124" t="s">
        <v>18</v>
      </c>
      <c r="C124" t="s">
        <v>19</v>
      </c>
      <c r="D124" s="2">
        <v>45786</v>
      </c>
      <c r="E124">
        <v>2377.23</v>
      </c>
      <c r="F124" t="s">
        <v>46</v>
      </c>
      <c r="G124" t="s">
        <v>35</v>
      </c>
      <c r="H124" t="s">
        <v>362</v>
      </c>
      <c r="I124">
        <v>911.43280085183051</v>
      </c>
      <c r="J124">
        <v>2723.7243372492239</v>
      </c>
      <c r="K124">
        <v>9358.383896823907</v>
      </c>
      <c r="L124" s="2">
        <v>45793</v>
      </c>
      <c r="M124" t="s">
        <v>363</v>
      </c>
      <c r="N124">
        <v>80</v>
      </c>
      <c r="O124" t="b">
        <v>1</v>
      </c>
      <c r="P124" s="3">
        <v>44474</v>
      </c>
      <c r="Q124">
        <v>226829.5</v>
      </c>
      <c r="R124" t="str">
        <f t="shared" ca="1" si="1"/>
        <v>06/05</v>
      </c>
    </row>
    <row r="125" spans="1:18" x14ac:dyDescent="0.3">
      <c r="A125" t="s">
        <v>364</v>
      </c>
      <c r="B125" t="s">
        <v>38</v>
      </c>
      <c r="C125" t="s">
        <v>46</v>
      </c>
      <c r="D125" s="2">
        <v>45867</v>
      </c>
      <c r="E125">
        <v>38283.81</v>
      </c>
      <c r="F125" t="s">
        <v>46</v>
      </c>
      <c r="G125" t="s">
        <v>47</v>
      </c>
      <c r="H125" t="s">
        <v>365</v>
      </c>
      <c r="I125">
        <v>60374.51285081909</v>
      </c>
      <c r="J125">
        <v>95868.325000000012</v>
      </c>
      <c r="K125">
        <v>79759.776415726141</v>
      </c>
      <c r="L125" s="2">
        <v>45868</v>
      </c>
      <c r="M125" t="s">
        <v>366</v>
      </c>
      <c r="N125">
        <v>10</v>
      </c>
      <c r="O125" t="b">
        <v>0</v>
      </c>
      <c r="P125" s="3">
        <v>44474</v>
      </c>
      <c r="Q125">
        <v>619302.51</v>
      </c>
      <c r="R125" t="str">
        <f t="shared" ca="1" si="1"/>
        <v>10/05</v>
      </c>
    </row>
    <row r="126" spans="1:18" x14ac:dyDescent="0.3">
      <c r="A126" t="s">
        <v>367</v>
      </c>
      <c r="B126" t="s">
        <v>18</v>
      </c>
      <c r="C126" t="s">
        <v>24</v>
      </c>
      <c r="D126" s="2">
        <v>45926</v>
      </c>
      <c r="E126">
        <v>13479.75</v>
      </c>
      <c r="F126" t="s">
        <v>24</v>
      </c>
      <c r="G126" t="s">
        <v>25</v>
      </c>
      <c r="H126" t="s">
        <v>368</v>
      </c>
      <c r="I126">
        <v>5338.929895458753</v>
      </c>
      <c r="J126">
        <v>12295.349337249219</v>
      </c>
      <c r="K126">
        <v>26269.785342653209</v>
      </c>
      <c r="L126" s="2">
        <v>45930</v>
      </c>
      <c r="M126" t="s">
        <v>369</v>
      </c>
      <c r="N126">
        <v>65</v>
      </c>
      <c r="O126" t="b">
        <v>1</v>
      </c>
      <c r="P126" s="3">
        <v>44476</v>
      </c>
      <c r="Q126">
        <v>1248504.3700000001</v>
      </c>
      <c r="R126" t="str">
        <f t="shared" ca="1" si="1"/>
        <v>23/04</v>
      </c>
    </row>
    <row r="127" spans="1:18" x14ac:dyDescent="0.3">
      <c r="A127" t="s">
        <v>370</v>
      </c>
      <c r="B127" t="s">
        <v>38</v>
      </c>
      <c r="C127" t="s">
        <v>24</v>
      </c>
      <c r="D127" s="2">
        <v>45784</v>
      </c>
      <c r="E127">
        <v>3615.42</v>
      </c>
      <c r="F127" t="s">
        <v>24</v>
      </c>
      <c r="G127" t="s">
        <v>25</v>
      </c>
      <c r="H127" t="s">
        <v>371</v>
      </c>
      <c r="I127">
        <v>3507.548298489392</v>
      </c>
      <c r="J127">
        <v>5978.1773177158939</v>
      </c>
      <c r="K127">
        <v>10646.82526870979</v>
      </c>
      <c r="L127" s="2">
        <v>45950</v>
      </c>
      <c r="M127" t="s">
        <v>372</v>
      </c>
      <c r="N127">
        <v>5</v>
      </c>
      <c r="O127" t="b">
        <v>0</v>
      </c>
      <c r="P127" s="3">
        <v>44440</v>
      </c>
      <c r="Q127">
        <v>33497.72</v>
      </c>
      <c r="R127" t="str">
        <f t="shared" ca="1" si="1"/>
        <v>05/09</v>
      </c>
    </row>
    <row r="128" spans="1:18" x14ac:dyDescent="0.3">
      <c r="A128" t="s">
        <v>373</v>
      </c>
      <c r="B128" t="s">
        <v>38</v>
      </c>
      <c r="C128" t="s">
        <v>24</v>
      </c>
      <c r="D128" s="2">
        <v>45869</v>
      </c>
      <c r="E128">
        <v>4587.37</v>
      </c>
      <c r="F128" t="s">
        <v>24</v>
      </c>
      <c r="G128" t="s">
        <v>25</v>
      </c>
      <c r="H128" t="s">
        <v>374</v>
      </c>
      <c r="I128">
        <v>1957.611441032838</v>
      </c>
      <c r="J128">
        <v>4412.4043082658955</v>
      </c>
      <c r="K128">
        <v>16778.38094217037</v>
      </c>
      <c r="L128" s="2">
        <v>45900</v>
      </c>
      <c r="M128" t="s">
        <v>375</v>
      </c>
      <c r="N128">
        <v>12</v>
      </c>
      <c r="O128" t="b">
        <v>0</v>
      </c>
      <c r="P128" s="3">
        <v>44477</v>
      </c>
      <c r="Q128">
        <v>121015.3</v>
      </c>
      <c r="R128" t="str">
        <f t="shared" ca="1" si="1"/>
        <v>18/03</v>
      </c>
    </row>
    <row r="129" spans="1:18" x14ac:dyDescent="0.3">
      <c r="A129" t="s">
        <v>376</v>
      </c>
      <c r="B129" t="s">
        <v>38</v>
      </c>
      <c r="C129" t="s">
        <v>24</v>
      </c>
      <c r="D129" s="2">
        <v>45604</v>
      </c>
      <c r="E129">
        <v>8403.36</v>
      </c>
      <c r="F129" t="s">
        <v>24</v>
      </c>
      <c r="G129" t="s">
        <v>25</v>
      </c>
      <c r="H129" t="s">
        <v>377</v>
      </c>
      <c r="I129">
        <v>2121.4218631905169</v>
      </c>
      <c r="J129">
        <v>4583.8599771208947</v>
      </c>
      <c r="K129">
        <v>10233.566568207851</v>
      </c>
      <c r="L129" s="2">
        <v>45608</v>
      </c>
      <c r="M129" t="s">
        <v>378</v>
      </c>
      <c r="N129">
        <v>29</v>
      </c>
      <c r="O129" t="b">
        <v>0</v>
      </c>
      <c r="P129" s="3">
        <v>44480</v>
      </c>
      <c r="Q129">
        <v>144933.54999999999</v>
      </c>
      <c r="R129" t="str">
        <f t="shared" ca="1" si="1"/>
        <v>26/11</v>
      </c>
    </row>
    <row r="130" spans="1:18" x14ac:dyDescent="0.3">
      <c r="A130" t="s">
        <v>379</v>
      </c>
      <c r="B130" t="s">
        <v>18</v>
      </c>
      <c r="C130" t="s">
        <v>24</v>
      </c>
      <c r="D130" s="2">
        <v>45881</v>
      </c>
      <c r="E130">
        <v>10514.06</v>
      </c>
      <c r="F130" t="s">
        <v>24</v>
      </c>
      <c r="G130" t="s">
        <v>25</v>
      </c>
      <c r="H130" t="s">
        <v>380</v>
      </c>
      <c r="I130">
        <v>1149.196892315809</v>
      </c>
      <c r="J130">
        <v>3079.7837955928771</v>
      </c>
      <c r="K130">
        <v>15381.307671385681</v>
      </c>
      <c r="L130" s="2">
        <v>45882</v>
      </c>
      <c r="M130" t="s">
        <v>381</v>
      </c>
      <c r="N130">
        <v>31</v>
      </c>
      <c r="O130" t="b">
        <v>0</v>
      </c>
      <c r="P130" s="3">
        <v>44480</v>
      </c>
      <c r="Q130">
        <v>288388.28000000003</v>
      </c>
      <c r="R130" t="str">
        <f t="shared" ca="1" si="1"/>
        <v>10/07</v>
      </c>
    </row>
    <row r="131" spans="1:18" x14ac:dyDescent="0.3">
      <c r="A131" t="s">
        <v>382</v>
      </c>
      <c r="B131" t="s">
        <v>38</v>
      </c>
      <c r="C131" t="s">
        <v>46</v>
      </c>
      <c r="D131" s="2">
        <v>45792</v>
      </c>
      <c r="E131">
        <v>90554.7</v>
      </c>
      <c r="F131" t="s">
        <v>46</v>
      </c>
      <c r="G131" t="s">
        <v>47</v>
      </c>
      <c r="H131" t="s">
        <v>383</v>
      </c>
      <c r="I131">
        <v>569.61706566815701</v>
      </c>
      <c r="J131">
        <v>640.17235828259436</v>
      </c>
      <c r="K131">
        <v>69151.255941464464</v>
      </c>
      <c r="L131" s="2">
        <v>45826</v>
      </c>
      <c r="M131" t="s">
        <v>384</v>
      </c>
      <c r="N131">
        <v>8</v>
      </c>
      <c r="O131" t="b">
        <v>0</v>
      </c>
      <c r="P131" s="3">
        <v>44526</v>
      </c>
      <c r="Q131">
        <v>121407.99</v>
      </c>
      <c r="R131" t="str">
        <f t="shared" ref="R131:R191" ca="1" si="2">TEXT(RANDBETWEEN(DATE(2000,1,1),DATE(2000,12,31)),"dd/mm")</f>
        <v>22/08</v>
      </c>
    </row>
    <row r="132" spans="1:18" x14ac:dyDescent="0.3">
      <c r="A132" t="s">
        <v>385</v>
      </c>
      <c r="B132" t="s">
        <v>38</v>
      </c>
      <c r="C132" t="s">
        <v>24</v>
      </c>
      <c r="D132" s="2">
        <v>45919</v>
      </c>
      <c r="E132">
        <v>678.77</v>
      </c>
      <c r="F132" t="s">
        <v>24</v>
      </c>
      <c r="G132" t="s">
        <v>25</v>
      </c>
      <c r="H132" t="s">
        <v>386</v>
      </c>
      <c r="I132">
        <v>905.37403719524809</v>
      </c>
      <c r="J132">
        <v>1822.8686181658941</v>
      </c>
      <c r="K132">
        <v>3099.3340582378378</v>
      </c>
      <c r="L132" s="2">
        <v>45939</v>
      </c>
      <c r="M132" t="s">
        <v>387</v>
      </c>
      <c r="N132">
        <v>20</v>
      </c>
      <c r="O132" t="b">
        <v>0</v>
      </c>
      <c r="P132" s="3">
        <v>44484</v>
      </c>
      <c r="Q132">
        <v>44897.4</v>
      </c>
      <c r="R132" t="str">
        <f t="shared" ca="1" si="2"/>
        <v>07/10</v>
      </c>
    </row>
    <row r="133" spans="1:18" x14ac:dyDescent="0.3">
      <c r="A133" t="s">
        <v>388</v>
      </c>
      <c r="B133" t="s">
        <v>38</v>
      </c>
      <c r="C133" t="s">
        <v>24</v>
      </c>
      <c r="D133" s="2">
        <v>45887</v>
      </c>
      <c r="E133">
        <v>75542.399999999994</v>
      </c>
      <c r="F133" t="s">
        <v>24</v>
      </c>
      <c r="G133" t="s">
        <v>25</v>
      </c>
      <c r="H133" t="s">
        <v>389</v>
      </c>
      <c r="I133">
        <v>17526.750140242671</v>
      </c>
      <c r="J133">
        <v>50781.792308265889</v>
      </c>
      <c r="K133">
        <v>83274.091100029327</v>
      </c>
      <c r="L133" s="2">
        <v>45920</v>
      </c>
      <c r="M133" t="s">
        <v>390</v>
      </c>
      <c r="N133">
        <v>25</v>
      </c>
      <c r="O133" t="b">
        <v>0</v>
      </c>
      <c r="P133" s="3">
        <v>44487</v>
      </c>
      <c r="Q133">
        <v>1307879.6200000001</v>
      </c>
      <c r="R133" t="str">
        <f t="shared" ca="1" si="2"/>
        <v>10/05</v>
      </c>
    </row>
    <row r="134" spans="1:18" x14ac:dyDescent="0.3">
      <c r="A134" t="s">
        <v>391</v>
      </c>
      <c r="B134" t="s">
        <v>38</v>
      </c>
      <c r="C134" t="s">
        <v>24</v>
      </c>
      <c r="D134" s="2">
        <v>45909</v>
      </c>
      <c r="E134">
        <v>3858.11</v>
      </c>
      <c r="F134" t="s">
        <v>24</v>
      </c>
      <c r="G134" t="s">
        <v>25</v>
      </c>
      <c r="H134" t="s">
        <v>392</v>
      </c>
      <c r="I134">
        <v>1169.056954946248</v>
      </c>
      <c r="J134">
        <v>1853.4533667914891</v>
      </c>
      <c r="K134">
        <v>3546.7174879819199</v>
      </c>
      <c r="L134" s="2">
        <v>45938</v>
      </c>
      <c r="M134" t="s">
        <v>393</v>
      </c>
      <c r="N134">
        <v>31</v>
      </c>
      <c r="O134" t="b">
        <v>0</v>
      </c>
      <c r="P134" s="3">
        <v>44491</v>
      </c>
      <c r="Q134">
        <v>70238.45</v>
      </c>
      <c r="R134" t="str">
        <f t="shared" ca="1" si="2"/>
        <v>22/10</v>
      </c>
    </row>
    <row r="135" spans="1:18" x14ac:dyDescent="0.3">
      <c r="A135" t="s">
        <v>394</v>
      </c>
      <c r="B135" t="s">
        <v>38</v>
      </c>
      <c r="C135" t="s">
        <v>66</v>
      </c>
      <c r="D135" s="2">
        <v>45657</v>
      </c>
      <c r="E135">
        <v>20356.5</v>
      </c>
      <c r="F135" t="s">
        <v>66</v>
      </c>
      <c r="G135" t="s">
        <v>67</v>
      </c>
      <c r="H135" t="s">
        <v>395</v>
      </c>
      <c r="I135">
        <v>2862.777011156456</v>
      </c>
      <c r="J135">
        <v>7081.039977120894</v>
      </c>
      <c r="K135">
        <v>18432.874382577069</v>
      </c>
      <c r="L135" s="2">
        <v>45663</v>
      </c>
      <c r="M135" t="s">
        <v>396</v>
      </c>
      <c r="N135">
        <v>24</v>
      </c>
      <c r="O135" t="b">
        <v>0</v>
      </c>
      <c r="P135" s="3">
        <v>44494</v>
      </c>
      <c r="Q135">
        <v>129059.7</v>
      </c>
      <c r="R135" t="str">
        <f t="shared" ca="1" si="2"/>
        <v>14/05</v>
      </c>
    </row>
    <row r="136" spans="1:18" x14ac:dyDescent="0.3">
      <c r="A136" t="s">
        <v>397</v>
      </c>
      <c r="B136" t="s">
        <v>34</v>
      </c>
      <c r="C136" t="s">
        <v>29</v>
      </c>
      <c r="D136" s="2">
        <v>44498</v>
      </c>
      <c r="E136">
        <v>10321.26</v>
      </c>
      <c r="F136" t="s">
        <v>29</v>
      </c>
      <c r="G136" t="s">
        <v>39</v>
      </c>
      <c r="H136" t="s">
        <v>398</v>
      </c>
      <c r="I136">
        <v>10321.26</v>
      </c>
      <c r="J136">
        <v>10321.26</v>
      </c>
      <c r="K136">
        <v>10321.26</v>
      </c>
      <c r="L136" s="2">
        <v>44528</v>
      </c>
      <c r="M136" t="s">
        <v>398</v>
      </c>
      <c r="N136">
        <v>1</v>
      </c>
      <c r="O136" t="b">
        <v>0</v>
      </c>
      <c r="P136" s="3">
        <v>44498</v>
      </c>
      <c r="Q136">
        <v>10321.26</v>
      </c>
      <c r="R136" t="str">
        <f t="shared" ca="1" si="2"/>
        <v>10/06</v>
      </c>
    </row>
    <row r="137" spans="1:18" x14ac:dyDescent="0.3">
      <c r="A137" t="s">
        <v>399</v>
      </c>
      <c r="B137" t="s">
        <v>38</v>
      </c>
      <c r="C137" t="s">
        <v>19</v>
      </c>
      <c r="D137" s="2">
        <v>45755</v>
      </c>
      <c r="E137">
        <v>5469.95</v>
      </c>
      <c r="F137" t="s">
        <v>24</v>
      </c>
      <c r="G137" t="s">
        <v>234</v>
      </c>
      <c r="H137" t="s">
        <v>400</v>
      </c>
      <c r="I137">
        <v>2303.5182614218552</v>
      </c>
      <c r="J137">
        <v>5469.95</v>
      </c>
      <c r="K137">
        <v>11864.52248769966</v>
      </c>
      <c r="L137" s="2">
        <v>45935</v>
      </c>
      <c r="M137" t="s">
        <v>401</v>
      </c>
      <c r="N137">
        <v>4</v>
      </c>
      <c r="O137" t="b">
        <v>0</v>
      </c>
      <c r="P137" s="3">
        <v>44502</v>
      </c>
      <c r="Q137">
        <v>28995.87</v>
      </c>
      <c r="R137" t="str">
        <f t="shared" ca="1" si="2"/>
        <v>20/09</v>
      </c>
    </row>
    <row r="138" spans="1:18" x14ac:dyDescent="0.3">
      <c r="A138" t="s">
        <v>402</v>
      </c>
      <c r="B138" t="s">
        <v>18</v>
      </c>
      <c r="C138" t="s">
        <v>19</v>
      </c>
      <c r="D138" s="2">
        <v>45219</v>
      </c>
      <c r="E138">
        <v>2482.64</v>
      </c>
      <c r="F138" t="s">
        <v>19</v>
      </c>
      <c r="G138" t="s">
        <v>20</v>
      </c>
      <c r="H138" t="s">
        <v>403</v>
      </c>
      <c r="I138">
        <v>4441.5220276844348</v>
      </c>
      <c r="J138">
        <v>12426.43433724922</v>
      </c>
      <c r="K138">
        <v>34451.510952371347</v>
      </c>
      <c r="L138" s="2">
        <v>45220</v>
      </c>
      <c r="M138" t="s">
        <v>404</v>
      </c>
      <c r="N138">
        <v>21</v>
      </c>
      <c r="O138" t="b">
        <v>0</v>
      </c>
      <c r="P138" s="3">
        <v>44441</v>
      </c>
      <c r="Q138">
        <v>596691.06999999995</v>
      </c>
      <c r="R138" t="str">
        <f t="shared" ca="1" si="2"/>
        <v>19/10</v>
      </c>
    </row>
    <row r="139" spans="1:18" x14ac:dyDescent="0.3">
      <c r="A139" t="s">
        <v>405</v>
      </c>
      <c r="B139" t="s">
        <v>38</v>
      </c>
      <c r="C139" t="s">
        <v>24</v>
      </c>
      <c r="D139" s="2">
        <v>45908</v>
      </c>
      <c r="E139">
        <v>1757.14</v>
      </c>
      <c r="F139" t="s">
        <v>24</v>
      </c>
      <c r="G139" t="s">
        <v>25</v>
      </c>
      <c r="H139" t="s">
        <v>406</v>
      </c>
      <c r="I139">
        <v>3195.4456496266421</v>
      </c>
      <c r="J139">
        <v>5914.7036181658941</v>
      </c>
      <c r="K139">
        <v>8142.5462859754298</v>
      </c>
      <c r="L139" s="2">
        <v>45922</v>
      </c>
      <c r="M139" t="s">
        <v>407</v>
      </c>
      <c r="N139">
        <v>26</v>
      </c>
      <c r="O139" t="b">
        <v>0</v>
      </c>
      <c r="P139" s="3">
        <v>44505</v>
      </c>
      <c r="Q139">
        <v>149247.18</v>
      </c>
      <c r="R139" t="str">
        <f t="shared" ca="1" si="2"/>
        <v>24/04</v>
      </c>
    </row>
    <row r="140" spans="1:18" x14ac:dyDescent="0.3">
      <c r="A140" t="s">
        <v>408</v>
      </c>
      <c r="B140" t="s">
        <v>18</v>
      </c>
      <c r="C140" t="s">
        <v>24</v>
      </c>
      <c r="D140" s="2">
        <v>45113</v>
      </c>
      <c r="E140">
        <v>36444.76</v>
      </c>
      <c r="F140" t="s">
        <v>24</v>
      </c>
      <c r="G140" t="s">
        <v>25</v>
      </c>
      <c r="H140" t="s">
        <v>409</v>
      </c>
      <c r="I140">
        <v>3205.3365588648071</v>
      </c>
      <c r="J140">
        <v>5161.1400000000003</v>
      </c>
      <c r="K140">
        <v>16272.837288853851</v>
      </c>
      <c r="L140" s="2">
        <v>45268</v>
      </c>
      <c r="M140" t="s">
        <v>410</v>
      </c>
      <c r="N140">
        <v>6</v>
      </c>
      <c r="O140" t="b">
        <v>0</v>
      </c>
      <c r="P140" s="3">
        <v>44509</v>
      </c>
      <c r="Q140">
        <v>62694.93</v>
      </c>
      <c r="R140" t="str">
        <f t="shared" ca="1" si="2"/>
        <v>24/06</v>
      </c>
    </row>
    <row r="141" spans="1:18" x14ac:dyDescent="0.3">
      <c r="A141" t="s">
        <v>411</v>
      </c>
      <c r="B141" t="s">
        <v>18</v>
      </c>
      <c r="C141" t="s">
        <v>24</v>
      </c>
      <c r="D141" s="2">
        <v>45741</v>
      </c>
      <c r="E141">
        <v>7232.25</v>
      </c>
      <c r="F141" t="s">
        <v>24</v>
      </c>
      <c r="G141" t="s">
        <v>25</v>
      </c>
      <c r="H141" t="s">
        <v>412</v>
      </c>
      <c r="I141">
        <v>2781.965530554387</v>
      </c>
      <c r="J141">
        <v>7706.4104155928771</v>
      </c>
      <c r="K141">
        <v>13744.285580042861</v>
      </c>
      <c r="L141" s="2">
        <v>45773</v>
      </c>
      <c r="M141" t="s">
        <v>413</v>
      </c>
      <c r="N141">
        <v>21</v>
      </c>
      <c r="O141" t="b">
        <v>0</v>
      </c>
      <c r="P141" s="3">
        <v>44547</v>
      </c>
      <c r="Q141">
        <v>167196.85</v>
      </c>
      <c r="R141" t="str">
        <f t="shared" ca="1" si="2"/>
        <v>23/04</v>
      </c>
    </row>
    <row r="142" spans="1:18" x14ac:dyDescent="0.3">
      <c r="A142" t="s">
        <v>414</v>
      </c>
      <c r="B142" t="s">
        <v>38</v>
      </c>
      <c r="C142" t="s">
        <v>66</v>
      </c>
      <c r="D142" s="2">
        <v>45888</v>
      </c>
      <c r="E142">
        <v>60000</v>
      </c>
      <c r="F142" t="s">
        <v>66</v>
      </c>
      <c r="G142" t="s">
        <v>67</v>
      </c>
      <c r="H142" t="s">
        <v>415</v>
      </c>
      <c r="I142">
        <v>10800.329654849</v>
      </c>
      <c r="J142">
        <v>10801.371877495611</v>
      </c>
      <c r="K142">
        <v>92266.232577356757</v>
      </c>
      <c r="L142" s="2">
        <v>45888</v>
      </c>
      <c r="M142" t="s">
        <v>416</v>
      </c>
      <c r="N142">
        <v>8</v>
      </c>
      <c r="O142" t="b">
        <v>0</v>
      </c>
      <c r="P142" s="3">
        <v>44525</v>
      </c>
      <c r="Q142">
        <v>270914.03000000003</v>
      </c>
      <c r="R142" t="str">
        <f t="shared" ca="1" si="2"/>
        <v>31/05</v>
      </c>
    </row>
    <row r="143" spans="1:18" x14ac:dyDescent="0.3">
      <c r="A143" t="s">
        <v>417</v>
      </c>
      <c r="B143" t="s">
        <v>18</v>
      </c>
      <c r="C143" t="s">
        <v>19</v>
      </c>
      <c r="D143" s="2">
        <v>45912</v>
      </c>
      <c r="E143">
        <v>14036.39</v>
      </c>
      <c r="F143" t="s">
        <v>19</v>
      </c>
      <c r="G143" t="s">
        <v>20</v>
      </c>
      <c r="H143" t="s">
        <v>418</v>
      </c>
      <c r="I143">
        <v>6531.9465035908606</v>
      </c>
      <c r="J143">
        <v>11387.79933724922</v>
      </c>
      <c r="K143">
        <v>22820.747438995411</v>
      </c>
      <c r="L143" s="2">
        <v>45922</v>
      </c>
      <c r="M143" t="s">
        <v>419</v>
      </c>
      <c r="N143">
        <v>39</v>
      </c>
      <c r="O143" t="b">
        <v>0</v>
      </c>
      <c r="P143" s="3">
        <v>44526</v>
      </c>
      <c r="Q143">
        <v>540395.48471801006</v>
      </c>
      <c r="R143" t="str">
        <f t="shared" ca="1" si="2"/>
        <v>23/02</v>
      </c>
    </row>
    <row r="144" spans="1:18" x14ac:dyDescent="0.3">
      <c r="A144" t="s">
        <v>420</v>
      </c>
      <c r="B144" t="s">
        <v>38</v>
      </c>
      <c r="C144" t="s">
        <v>29</v>
      </c>
      <c r="D144" s="2">
        <v>45355</v>
      </c>
      <c r="E144">
        <v>30508.29</v>
      </c>
      <c r="F144" t="s">
        <v>29</v>
      </c>
      <c r="G144" t="s">
        <v>39</v>
      </c>
      <c r="H144" t="s">
        <v>421</v>
      </c>
      <c r="I144">
        <v>14929.29272766368</v>
      </c>
      <c r="J144">
        <v>22692.87</v>
      </c>
      <c r="K144">
        <v>46985.169188270447</v>
      </c>
      <c r="L144" s="2">
        <v>45480</v>
      </c>
      <c r="M144" t="s">
        <v>422</v>
      </c>
      <c r="N144">
        <v>7</v>
      </c>
      <c r="O144" t="b">
        <v>0</v>
      </c>
      <c r="P144" s="3">
        <v>44529</v>
      </c>
      <c r="Q144">
        <v>209619.86</v>
      </c>
      <c r="R144" t="str">
        <f t="shared" ca="1" si="2"/>
        <v>26/05</v>
      </c>
    </row>
    <row r="145" spans="1:18" x14ac:dyDescent="0.3">
      <c r="A145" t="s">
        <v>423</v>
      </c>
      <c r="B145" t="s">
        <v>34</v>
      </c>
      <c r="C145" t="s">
        <v>19</v>
      </c>
      <c r="D145" s="2">
        <v>44532</v>
      </c>
      <c r="E145">
        <v>4213.41</v>
      </c>
      <c r="F145" t="s">
        <v>29</v>
      </c>
      <c r="G145" t="s">
        <v>35</v>
      </c>
      <c r="H145" t="s">
        <v>424</v>
      </c>
      <c r="I145">
        <v>4213.41</v>
      </c>
      <c r="J145">
        <v>4213.41</v>
      </c>
      <c r="K145">
        <v>4213.41</v>
      </c>
      <c r="L145" s="2">
        <v>44562</v>
      </c>
      <c r="M145" t="s">
        <v>424</v>
      </c>
      <c r="N145">
        <v>1</v>
      </c>
      <c r="O145" t="b">
        <v>0</v>
      </c>
      <c r="P145" s="3">
        <v>44532</v>
      </c>
      <c r="Q145">
        <v>4213.41</v>
      </c>
      <c r="R145" t="str">
        <f t="shared" ca="1" si="2"/>
        <v>21/05</v>
      </c>
    </row>
    <row r="146" spans="1:18" x14ac:dyDescent="0.3">
      <c r="A146" t="s">
        <v>425</v>
      </c>
      <c r="B146" t="s">
        <v>38</v>
      </c>
      <c r="C146" t="s">
        <v>66</v>
      </c>
      <c r="D146" s="2">
        <v>45575</v>
      </c>
      <c r="E146">
        <v>6519</v>
      </c>
      <c r="F146" t="s">
        <v>24</v>
      </c>
      <c r="G146" t="s">
        <v>426</v>
      </c>
      <c r="H146" t="s">
        <v>427</v>
      </c>
      <c r="I146">
        <v>2782.7244205836651</v>
      </c>
      <c r="J146">
        <v>4996.5636181658938</v>
      </c>
      <c r="K146">
        <v>7233.2012479648656</v>
      </c>
      <c r="L146" s="2">
        <v>45641</v>
      </c>
      <c r="M146" t="s">
        <v>428</v>
      </c>
      <c r="N146">
        <v>10</v>
      </c>
      <c r="O146" t="b">
        <v>0</v>
      </c>
      <c r="P146" s="3">
        <v>44533</v>
      </c>
      <c r="Q146">
        <v>41123.78</v>
      </c>
      <c r="R146" t="str">
        <f t="shared" ca="1" si="2"/>
        <v>05/12</v>
      </c>
    </row>
    <row r="147" spans="1:18" x14ac:dyDescent="0.3">
      <c r="A147" t="s">
        <v>429</v>
      </c>
      <c r="B147" t="s">
        <v>34</v>
      </c>
      <c r="C147" t="s">
        <v>29</v>
      </c>
      <c r="D147" s="2">
        <v>44533</v>
      </c>
      <c r="E147">
        <v>20000</v>
      </c>
      <c r="F147" t="s">
        <v>29</v>
      </c>
      <c r="G147" t="s">
        <v>39</v>
      </c>
      <c r="H147" t="s">
        <v>72</v>
      </c>
      <c r="I147">
        <v>20000</v>
      </c>
      <c r="J147">
        <v>20000</v>
      </c>
      <c r="K147">
        <v>20000</v>
      </c>
      <c r="L147" s="2">
        <v>44563</v>
      </c>
      <c r="M147" t="s">
        <v>72</v>
      </c>
      <c r="N147">
        <v>1</v>
      </c>
      <c r="O147" t="b">
        <v>0</v>
      </c>
      <c r="P147" s="3">
        <v>44533</v>
      </c>
      <c r="Q147">
        <v>20000</v>
      </c>
      <c r="R147" t="str">
        <f t="shared" ca="1" si="2"/>
        <v>18/09</v>
      </c>
    </row>
    <row r="148" spans="1:18" x14ac:dyDescent="0.3">
      <c r="A148" t="s">
        <v>430</v>
      </c>
      <c r="B148" t="s">
        <v>38</v>
      </c>
      <c r="C148" t="s">
        <v>29</v>
      </c>
      <c r="D148" s="2">
        <v>45877</v>
      </c>
      <c r="E148">
        <v>4000</v>
      </c>
      <c r="F148" t="s">
        <v>29</v>
      </c>
      <c r="G148" t="s">
        <v>39</v>
      </c>
      <c r="H148" t="s">
        <v>431</v>
      </c>
      <c r="I148">
        <v>17576.826728730699</v>
      </c>
      <c r="J148">
        <v>32494.04</v>
      </c>
      <c r="K148">
        <v>65547.881177202304</v>
      </c>
      <c r="L148" s="2">
        <v>45938</v>
      </c>
      <c r="M148" t="s">
        <v>432</v>
      </c>
      <c r="N148">
        <v>13</v>
      </c>
      <c r="O148" t="b">
        <v>0</v>
      </c>
      <c r="P148" s="3">
        <v>44533</v>
      </c>
      <c r="Q148">
        <v>502648.85</v>
      </c>
      <c r="R148" t="str">
        <f t="shared" ca="1" si="2"/>
        <v>02/06</v>
      </c>
    </row>
    <row r="149" spans="1:18" x14ac:dyDescent="0.3">
      <c r="A149" t="s">
        <v>433</v>
      </c>
      <c r="B149" t="s">
        <v>18</v>
      </c>
      <c r="C149" t="s">
        <v>46</v>
      </c>
      <c r="D149" s="2">
        <v>45898</v>
      </c>
      <c r="E149">
        <v>256272.5</v>
      </c>
      <c r="F149" t="s">
        <v>46</v>
      </c>
      <c r="G149" t="s">
        <v>47</v>
      </c>
      <c r="H149" t="s">
        <v>434</v>
      </c>
      <c r="I149">
        <v>13067.393847727781</v>
      </c>
      <c r="J149">
        <v>20853.13933724922</v>
      </c>
      <c r="K149">
        <v>81228.099257697584</v>
      </c>
      <c r="L149" s="2">
        <v>45898</v>
      </c>
      <c r="M149" t="s">
        <v>435</v>
      </c>
      <c r="N149">
        <v>58</v>
      </c>
      <c r="O149" t="b">
        <v>1</v>
      </c>
      <c r="P149" s="3">
        <v>44589</v>
      </c>
      <c r="Q149">
        <v>5874250.3099999996</v>
      </c>
      <c r="R149" t="str">
        <f t="shared" ca="1" si="2"/>
        <v>25/03</v>
      </c>
    </row>
    <row r="150" spans="1:18" x14ac:dyDescent="0.3">
      <c r="A150" t="s">
        <v>436</v>
      </c>
      <c r="B150" t="s">
        <v>38</v>
      </c>
      <c r="C150" t="s">
        <v>24</v>
      </c>
      <c r="D150" s="2">
        <v>45890</v>
      </c>
      <c r="E150">
        <v>30172.62</v>
      </c>
      <c r="F150" t="s">
        <v>24</v>
      </c>
      <c r="G150" t="s">
        <v>25</v>
      </c>
      <c r="H150" t="s">
        <v>437</v>
      </c>
      <c r="I150">
        <v>400.12259758383613</v>
      </c>
      <c r="J150">
        <v>6550.2590568914893</v>
      </c>
      <c r="K150">
        <v>19774.431550151628</v>
      </c>
      <c r="L150" s="2">
        <v>45907</v>
      </c>
      <c r="M150" t="s">
        <v>438</v>
      </c>
      <c r="N150">
        <v>32</v>
      </c>
      <c r="O150" t="b">
        <v>0</v>
      </c>
      <c r="P150" s="3">
        <v>44641</v>
      </c>
      <c r="Q150">
        <v>400732.23</v>
      </c>
      <c r="R150" t="str">
        <f t="shared" ca="1" si="2"/>
        <v>27/12</v>
      </c>
    </row>
    <row r="151" spans="1:18" x14ac:dyDescent="0.3">
      <c r="A151" t="s">
        <v>439</v>
      </c>
      <c r="B151" t="s">
        <v>18</v>
      </c>
      <c r="C151" t="s">
        <v>19</v>
      </c>
      <c r="D151" s="2">
        <v>44643</v>
      </c>
      <c r="E151">
        <v>8391.07</v>
      </c>
      <c r="F151" t="s">
        <v>19</v>
      </c>
      <c r="G151" t="s">
        <v>20</v>
      </c>
      <c r="H151" t="s">
        <v>440</v>
      </c>
      <c r="I151">
        <v>5954.6803467975169</v>
      </c>
      <c r="J151">
        <v>10638.21</v>
      </c>
      <c r="K151">
        <v>15110.485046496269</v>
      </c>
      <c r="L151" s="2">
        <v>44696</v>
      </c>
      <c r="M151" t="s">
        <v>441</v>
      </c>
      <c r="N151">
        <v>3</v>
      </c>
      <c r="O151" t="b">
        <v>0</v>
      </c>
      <c r="P151" s="3">
        <v>44537</v>
      </c>
      <c r="Q151">
        <v>31099.19</v>
      </c>
      <c r="R151" t="str">
        <f t="shared" ca="1" si="2"/>
        <v>01/08</v>
      </c>
    </row>
    <row r="152" spans="1:18" x14ac:dyDescent="0.3">
      <c r="A152" t="s">
        <v>442</v>
      </c>
      <c r="B152" t="s">
        <v>18</v>
      </c>
      <c r="C152" t="s">
        <v>24</v>
      </c>
      <c r="D152" s="2">
        <v>44622</v>
      </c>
      <c r="E152">
        <v>11663.92</v>
      </c>
      <c r="F152" t="s">
        <v>24</v>
      </c>
      <c r="G152" t="s">
        <v>25</v>
      </c>
      <c r="H152" t="s">
        <v>443</v>
      </c>
      <c r="I152">
        <v>2739.4131473463831</v>
      </c>
      <c r="J152">
        <v>7111.96</v>
      </c>
      <c r="K152">
        <v>10722.26471889574</v>
      </c>
      <c r="L152" s="2">
        <v>44636</v>
      </c>
      <c r="M152" t="s">
        <v>444</v>
      </c>
      <c r="N152">
        <v>5</v>
      </c>
      <c r="O152" t="b">
        <v>0</v>
      </c>
      <c r="P152" s="3">
        <v>44537</v>
      </c>
      <c r="Q152">
        <v>33711.35</v>
      </c>
      <c r="R152" t="str">
        <f t="shared" ca="1" si="2"/>
        <v>20/05</v>
      </c>
    </row>
    <row r="153" spans="1:18" x14ac:dyDescent="0.3">
      <c r="A153" t="s">
        <v>445</v>
      </c>
      <c r="B153" t="s">
        <v>38</v>
      </c>
      <c r="C153" t="s">
        <v>24</v>
      </c>
      <c r="D153" s="2">
        <v>45877</v>
      </c>
      <c r="E153">
        <v>13367.3</v>
      </c>
      <c r="F153" t="s">
        <v>24</v>
      </c>
      <c r="G153" t="s">
        <v>25</v>
      </c>
      <c r="H153" t="s">
        <v>446</v>
      </c>
      <c r="I153">
        <v>2621.1089589133771</v>
      </c>
      <c r="J153">
        <v>4992.3648281658934</v>
      </c>
      <c r="K153">
        <v>8680.7457971132371</v>
      </c>
      <c r="L153" s="2">
        <v>45890</v>
      </c>
      <c r="M153" t="s">
        <v>447</v>
      </c>
      <c r="N153">
        <v>20</v>
      </c>
      <c r="O153" t="b">
        <v>0</v>
      </c>
      <c r="P153" s="3">
        <v>44538</v>
      </c>
      <c r="Q153">
        <v>115888.86</v>
      </c>
      <c r="R153" t="str">
        <f t="shared" ca="1" si="2"/>
        <v>02/02</v>
      </c>
    </row>
    <row r="154" spans="1:18" x14ac:dyDescent="0.3">
      <c r="A154" t="s">
        <v>448</v>
      </c>
      <c r="B154" t="s">
        <v>38</v>
      </c>
      <c r="C154" t="s">
        <v>66</v>
      </c>
      <c r="D154" s="2">
        <v>45755</v>
      </c>
      <c r="E154">
        <v>30000</v>
      </c>
      <c r="F154" t="s">
        <v>66</v>
      </c>
      <c r="G154" t="s">
        <v>67</v>
      </c>
      <c r="H154" t="s">
        <v>449</v>
      </c>
      <c r="I154">
        <v>15891.54743275219</v>
      </c>
      <c r="J154">
        <v>29838.021797815891</v>
      </c>
      <c r="K154">
        <v>50848.643906469733</v>
      </c>
      <c r="L154" s="2">
        <v>45928</v>
      </c>
      <c r="M154" t="s">
        <v>450</v>
      </c>
      <c r="N154">
        <v>8</v>
      </c>
      <c r="O154" t="b">
        <v>0</v>
      </c>
      <c r="P154" s="3">
        <v>44551</v>
      </c>
      <c r="Q154">
        <v>155034.82</v>
      </c>
      <c r="R154" t="str">
        <f t="shared" ca="1" si="2"/>
        <v>21/06</v>
      </c>
    </row>
    <row r="155" spans="1:18" x14ac:dyDescent="0.3">
      <c r="A155" t="s">
        <v>451</v>
      </c>
      <c r="B155" t="s">
        <v>38</v>
      </c>
      <c r="C155" t="s">
        <v>29</v>
      </c>
      <c r="D155" s="2">
        <v>45140</v>
      </c>
      <c r="E155">
        <v>30747.52</v>
      </c>
      <c r="F155" t="s">
        <v>29</v>
      </c>
      <c r="G155" t="s">
        <v>39</v>
      </c>
      <c r="H155" t="s">
        <v>452</v>
      </c>
      <c r="I155">
        <v>15126.949063565089</v>
      </c>
      <c r="J155">
        <v>23027.46</v>
      </c>
      <c r="K155">
        <v>40470.332694574958</v>
      </c>
      <c r="L155" s="2">
        <v>45729</v>
      </c>
      <c r="M155" t="s">
        <v>452</v>
      </c>
      <c r="N155">
        <v>2</v>
      </c>
      <c r="O155" t="b">
        <v>0</v>
      </c>
      <c r="P155" s="3">
        <v>44551</v>
      </c>
      <c r="Q155">
        <v>46054.92</v>
      </c>
      <c r="R155" t="str">
        <f t="shared" ca="1" si="2"/>
        <v>30/05</v>
      </c>
    </row>
    <row r="156" spans="1:18" x14ac:dyDescent="0.3">
      <c r="A156" t="s">
        <v>453</v>
      </c>
      <c r="B156" t="s">
        <v>18</v>
      </c>
      <c r="C156" t="s">
        <v>29</v>
      </c>
      <c r="D156" s="2">
        <v>44582</v>
      </c>
      <c r="E156">
        <v>21557.8</v>
      </c>
      <c r="F156" t="s">
        <v>66</v>
      </c>
      <c r="G156" t="s">
        <v>234</v>
      </c>
      <c r="H156" t="s">
        <v>454</v>
      </c>
      <c r="I156">
        <v>8328.2395062696469</v>
      </c>
      <c r="J156">
        <v>18473.900000000001</v>
      </c>
      <c r="K156">
        <v>29954.80236428187</v>
      </c>
      <c r="L156" s="2">
        <v>44613</v>
      </c>
      <c r="M156" t="s">
        <v>455</v>
      </c>
      <c r="N156">
        <v>2</v>
      </c>
      <c r="O156" t="b">
        <v>0</v>
      </c>
      <c r="P156" s="3">
        <v>44551</v>
      </c>
      <c r="Q156">
        <v>36857.800000000003</v>
      </c>
      <c r="R156" t="str">
        <f t="shared" ca="1" si="2"/>
        <v>07/05</v>
      </c>
    </row>
    <row r="157" spans="1:18" x14ac:dyDescent="0.3">
      <c r="A157" t="s">
        <v>456</v>
      </c>
      <c r="B157" t="s">
        <v>18</v>
      </c>
      <c r="C157" t="s">
        <v>29</v>
      </c>
      <c r="D157" s="2">
        <v>44652</v>
      </c>
      <c r="E157">
        <v>3300</v>
      </c>
      <c r="F157" t="s">
        <v>66</v>
      </c>
      <c r="G157" t="s">
        <v>30</v>
      </c>
      <c r="H157" t="s">
        <v>457</v>
      </c>
      <c r="I157">
        <v>3171.0413245457571</v>
      </c>
      <c r="J157">
        <v>6595</v>
      </c>
      <c r="K157">
        <v>8730.0648951931453</v>
      </c>
      <c r="L157" s="2">
        <v>44750</v>
      </c>
      <c r="M157" t="s">
        <v>458</v>
      </c>
      <c r="N157">
        <v>2</v>
      </c>
      <c r="O157" t="b">
        <v>0</v>
      </c>
      <c r="P157" s="3">
        <v>44554</v>
      </c>
      <c r="Q157">
        <v>13100</v>
      </c>
      <c r="R157" t="str">
        <f t="shared" ca="1" si="2"/>
        <v>11/03</v>
      </c>
    </row>
    <row r="158" spans="1:18" x14ac:dyDescent="0.3">
      <c r="A158" t="s">
        <v>459</v>
      </c>
      <c r="B158" t="s">
        <v>34</v>
      </c>
      <c r="C158" t="s">
        <v>24</v>
      </c>
      <c r="D158" s="2">
        <v>44561</v>
      </c>
      <c r="E158">
        <v>4225.7299999999996</v>
      </c>
      <c r="F158" t="s">
        <v>24</v>
      </c>
      <c r="G158" t="s">
        <v>25</v>
      </c>
      <c r="H158" t="s">
        <v>460</v>
      </c>
      <c r="I158">
        <v>4225.7299999999996</v>
      </c>
      <c r="J158">
        <v>4225.7299999999996</v>
      </c>
      <c r="K158">
        <v>4225.7299999999996</v>
      </c>
      <c r="L158" s="2">
        <v>44591</v>
      </c>
      <c r="M158" t="s">
        <v>460</v>
      </c>
      <c r="N158">
        <v>1</v>
      </c>
      <c r="O158" t="b">
        <v>0</v>
      </c>
      <c r="P158" s="3">
        <v>44561</v>
      </c>
      <c r="Q158">
        <v>4225.7299999999996</v>
      </c>
      <c r="R158" t="str">
        <f t="shared" ca="1" si="2"/>
        <v>04/12</v>
      </c>
    </row>
    <row r="159" spans="1:18" x14ac:dyDescent="0.3">
      <c r="A159" t="s">
        <v>461</v>
      </c>
      <c r="B159" t="s">
        <v>38</v>
      </c>
      <c r="C159" t="s">
        <v>29</v>
      </c>
      <c r="D159" s="2">
        <v>45757</v>
      </c>
      <c r="E159">
        <v>55551</v>
      </c>
      <c r="F159" t="s">
        <v>24</v>
      </c>
      <c r="G159" t="s">
        <v>234</v>
      </c>
      <c r="H159" t="s">
        <v>462</v>
      </c>
      <c r="I159">
        <v>13967.01925495692</v>
      </c>
      <c r="J159">
        <v>52775.5</v>
      </c>
      <c r="K159">
        <v>84418.573336264613</v>
      </c>
      <c r="L159" s="2">
        <v>45862</v>
      </c>
      <c r="M159" t="s">
        <v>463</v>
      </c>
      <c r="N159">
        <v>6</v>
      </c>
      <c r="O159" t="b">
        <v>0</v>
      </c>
      <c r="P159" s="3">
        <v>44564</v>
      </c>
      <c r="Q159">
        <v>252361.46</v>
      </c>
      <c r="R159" t="str">
        <f t="shared" ca="1" si="2"/>
        <v>15/06</v>
      </c>
    </row>
    <row r="160" spans="1:18" x14ac:dyDescent="0.3">
      <c r="A160" t="s">
        <v>464</v>
      </c>
      <c r="B160" t="s">
        <v>18</v>
      </c>
      <c r="C160" t="s">
        <v>24</v>
      </c>
      <c r="D160" s="2">
        <v>44580</v>
      </c>
      <c r="E160">
        <v>3010.22</v>
      </c>
      <c r="F160" t="s">
        <v>24</v>
      </c>
      <c r="G160" t="s">
        <v>25</v>
      </c>
      <c r="H160" t="s">
        <v>465</v>
      </c>
      <c r="I160">
        <v>0</v>
      </c>
      <c r="J160">
        <v>3010.22</v>
      </c>
      <c r="K160">
        <v>15934.652522271779</v>
      </c>
      <c r="L160" s="2">
        <v>44595</v>
      </c>
      <c r="M160" t="s">
        <v>466</v>
      </c>
      <c r="N160">
        <v>2</v>
      </c>
      <c r="O160" t="b">
        <v>0</v>
      </c>
      <c r="P160" s="3">
        <v>44565</v>
      </c>
      <c r="Q160">
        <v>53010.22</v>
      </c>
      <c r="R160" t="str">
        <f t="shared" ca="1" si="2"/>
        <v>16/07</v>
      </c>
    </row>
    <row r="161" spans="1:18" x14ac:dyDescent="0.3">
      <c r="A161" t="s">
        <v>467</v>
      </c>
      <c r="B161" t="s">
        <v>18</v>
      </c>
      <c r="C161" t="s">
        <v>29</v>
      </c>
      <c r="D161" s="2">
        <v>44568</v>
      </c>
      <c r="E161">
        <v>15312.6</v>
      </c>
      <c r="F161" t="s">
        <v>29</v>
      </c>
      <c r="G161" t="s">
        <v>39</v>
      </c>
      <c r="H161" t="s">
        <v>468</v>
      </c>
      <c r="I161">
        <v>7249.1287016335646</v>
      </c>
      <c r="J161">
        <v>15357.6</v>
      </c>
      <c r="K161">
        <v>33671.251399281849</v>
      </c>
      <c r="L161" s="2">
        <v>44569</v>
      </c>
      <c r="M161" t="s">
        <v>469</v>
      </c>
      <c r="N161">
        <v>3</v>
      </c>
      <c r="O161" t="b">
        <v>0</v>
      </c>
      <c r="P161" s="3">
        <v>44566</v>
      </c>
      <c r="Q161">
        <v>108506.7</v>
      </c>
      <c r="R161" t="str">
        <f t="shared" ca="1" si="2"/>
        <v>07/05</v>
      </c>
    </row>
    <row r="162" spans="1:18" x14ac:dyDescent="0.3">
      <c r="A162" t="s">
        <v>470</v>
      </c>
      <c r="B162" t="s">
        <v>38</v>
      </c>
      <c r="C162" t="s">
        <v>24</v>
      </c>
      <c r="D162" s="2">
        <v>45839</v>
      </c>
      <c r="E162">
        <v>2002.35</v>
      </c>
      <c r="F162" t="s">
        <v>24</v>
      </c>
      <c r="G162" t="s">
        <v>25</v>
      </c>
      <c r="H162" t="s">
        <v>471</v>
      </c>
      <c r="I162">
        <v>2122.2724688167809</v>
      </c>
      <c r="J162">
        <v>4965.2243082658943</v>
      </c>
      <c r="K162">
        <v>13744.488719536739</v>
      </c>
      <c r="L162" s="2">
        <v>45856</v>
      </c>
      <c r="M162" t="s">
        <v>472</v>
      </c>
      <c r="N162">
        <v>12</v>
      </c>
      <c r="O162" t="b">
        <v>0</v>
      </c>
      <c r="P162" s="3">
        <v>44572</v>
      </c>
      <c r="Q162">
        <v>153949.57</v>
      </c>
      <c r="R162" t="str">
        <f t="shared" ca="1" si="2"/>
        <v>13/11</v>
      </c>
    </row>
    <row r="163" spans="1:18" x14ac:dyDescent="0.3">
      <c r="A163" t="s">
        <v>473</v>
      </c>
      <c r="B163" t="s">
        <v>38</v>
      </c>
      <c r="C163" t="s">
        <v>24</v>
      </c>
      <c r="D163" s="2">
        <v>45910</v>
      </c>
      <c r="E163">
        <v>47777.19</v>
      </c>
      <c r="F163" t="s">
        <v>24</v>
      </c>
      <c r="G163" t="s">
        <v>25</v>
      </c>
      <c r="H163" t="s">
        <v>474</v>
      </c>
      <c r="I163">
        <v>7827.7000083949579</v>
      </c>
      <c r="J163">
        <v>14731.8843082659</v>
      </c>
      <c r="K163">
        <v>23715.519313702749</v>
      </c>
      <c r="L163" s="2">
        <v>45925</v>
      </c>
      <c r="M163" t="s">
        <v>475</v>
      </c>
      <c r="N163">
        <v>20</v>
      </c>
      <c r="O163" t="b">
        <v>0</v>
      </c>
      <c r="P163" s="3">
        <v>44574</v>
      </c>
      <c r="Q163">
        <v>369692.43</v>
      </c>
      <c r="R163" t="str">
        <f t="shared" ca="1" si="2"/>
        <v>10/06</v>
      </c>
    </row>
    <row r="164" spans="1:18" x14ac:dyDescent="0.3">
      <c r="A164" t="s">
        <v>476</v>
      </c>
      <c r="B164" t="s">
        <v>38</v>
      </c>
      <c r="C164" t="s">
        <v>29</v>
      </c>
      <c r="D164" s="2">
        <v>45873</v>
      </c>
      <c r="E164">
        <v>65845.119999999995</v>
      </c>
      <c r="F164" t="s">
        <v>66</v>
      </c>
      <c r="G164" t="s">
        <v>35</v>
      </c>
      <c r="H164" t="s">
        <v>244</v>
      </c>
      <c r="I164">
        <v>7338.1956536842781</v>
      </c>
      <c r="J164">
        <v>15300</v>
      </c>
      <c r="K164">
        <v>22264.789200489871</v>
      </c>
      <c r="L164" s="2">
        <v>46026</v>
      </c>
      <c r="M164" t="s">
        <v>477</v>
      </c>
      <c r="N164">
        <v>9</v>
      </c>
      <c r="O164" t="b">
        <v>0</v>
      </c>
      <c r="P164" s="3">
        <v>44574</v>
      </c>
      <c r="Q164">
        <v>211904.87</v>
      </c>
      <c r="R164" t="str">
        <f t="shared" ca="1" si="2"/>
        <v>26/08</v>
      </c>
    </row>
    <row r="165" spans="1:18" x14ac:dyDescent="0.3">
      <c r="A165" t="s">
        <v>478</v>
      </c>
      <c r="B165" t="s">
        <v>38</v>
      </c>
      <c r="C165" t="s">
        <v>29</v>
      </c>
      <c r="D165" s="2">
        <v>45733</v>
      </c>
      <c r="E165">
        <v>15320</v>
      </c>
      <c r="F165" t="s">
        <v>24</v>
      </c>
      <c r="G165" t="s">
        <v>30</v>
      </c>
      <c r="H165" t="s">
        <v>479</v>
      </c>
      <c r="I165">
        <v>6252.969179453904</v>
      </c>
      <c r="J165">
        <v>12607</v>
      </c>
      <c r="K165">
        <v>18973.038690267898</v>
      </c>
      <c r="L165" s="2">
        <v>45961</v>
      </c>
      <c r="M165" t="s">
        <v>480</v>
      </c>
      <c r="N165">
        <v>6</v>
      </c>
      <c r="O165" t="b">
        <v>0</v>
      </c>
      <c r="P165" s="3">
        <v>44575</v>
      </c>
      <c r="Q165">
        <v>81390.540000000008</v>
      </c>
      <c r="R165" t="str">
        <f t="shared" ca="1" si="2"/>
        <v>03/12</v>
      </c>
    </row>
    <row r="166" spans="1:18" x14ac:dyDescent="0.3">
      <c r="A166" t="s">
        <v>481</v>
      </c>
      <c r="B166" t="s">
        <v>18</v>
      </c>
      <c r="C166" t="s">
        <v>24</v>
      </c>
      <c r="D166" s="2">
        <v>45869</v>
      </c>
      <c r="E166">
        <v>31369.200000000001</v>
      </c>
      <c r="F166" t="s">
        <v>24</v>
      </c>
      <c r="G166" t="s">
        <v>25</v>
      </c>
      <c r="H166" t="s">
        <v>482</v>
      </c>
      <c r="I166">
        <v>10876.003111771341</v>
      </c>
      <c r="J166">
        <v>29617.002390789221</v>
      </c>
      <c r="K166">
        <v>44997.663138029107</v>
      </c>
      <c r="L166" s="2">
        <v>45872</v>
      </c>
      <c r="M166" t="s">
        <v>483</v>
      </c>
      <c r="N166">
        <v>60</v>
      </c>
      <c r="O166" t="b">
        <v>1</v>
      </c>
      <c r="P166" s="3">
        <v>44586</v>
      </c>
      <c r="Q166">
        <v>1452900.47</v>
      </c>
      <c r="R166" t="str">
        <f t="shared" ca="1" si="2"/>
        <v>15/11</v>
      </c>
    </row>
    <row r="167" spans="1:18" x14ac:dyDescent="0.3">
      <c r="A167" t="s">
        <v>484</v>
      </c>
      <c r="B167" t="s">
        <v>18</v>
      </c>
      <c r="C167" t="s">
        <v>29</v>
      </c>
      <c r="D167" s="2">
        <v>44595</v>
      </c>
      <c r="E167">
        <v>16824.48</v>
      </c>
      <c r="F167" t="s">
        <v>24</v>
      </c>
      <c r="G167" t="s">
        <v>130</v>
      </c>
      <c r="H167" t="s">
        <v>485</v>
      </c>
      <c r="I167">
        <v>7249.9431522580489</v>
      </c>
      <c r="J167">
        <v>16824.48</v>
      </c>
      <c r="K167">
        <v>26716.020318835908</v>
      </c>
      <c r="L167" s="2">
        <v>44595</v>
      </c>
      <c r="M167" t="s">
        <v>486</v>
      </c>
      <c r="N167">
        <v>5</v>
      </c>
      <c r="O167" t="b">
        <v>0</v>
      </c>
      <c r="P167" s="3">
        <v>44585</v>
      </c>
      <c r="Q167">
        <v>47425.74</v>
      </c>
      <c r="R167" t="str">
        <f t="shared" ca="1" si="2"/>
        <v>14/11</v>
      </c>
    </row>
    <row r="168" spans="1:18" x14ac:dyDescent="0.3">
      <c r="A168" t="s">
        <v>487</v>
      </c>
      <c r="B168" t="s">
        <v>38</v>
      </c>
      <c r="C168" t="s">
        <v>24</v>
      </c>
      <c r="D168" s="2">
        <v>45673</v>
      </c>
      <c r="E168">
        <v>85713.46</v>
      </c>
      <c r="F168" t="s">
        <v>24</v>
      </c>
      <c r="G168" t="s">
        <v>25</v>
      </c>
      <c r="H168" t="s">
        <v>488</v>
      </c>
      <c r="I168">
        <v>4887.1878933761473</v>
      </c>
      <c r="J168">
        <v>34659.205308265897</v>
      </c>
      <c r="K168">
        <v>82006.623491627048</v>
      </c>
      <c r="L168" s="2">
        <v>45709</v>
      </c>
      <c r="M168" t="s">
        <v>489</v>
      </c>
      <c r="N168">
        <v>14</v>
      </c>
      <c r="O168" t="b">
        <v>0</v>
      </c>
      <c r="P168" s="3">
        <v>44585</v>
      </c>
      <c r="Q168">
        <v>455871.93</v>
      </c>
      <c r="R168" t="str">
        <f t="shared" ca="1" si="2"/>
        <v>29/10</v>
      </c>
    </row>
    <row r="169" spans="1:18" x14ac:dyDescent="0.3">
      <c r="A169" t="s">
        <v>490</v>
      </c>
      <c r="B169" t="s">
        <v>18</v>
      </c>
      <c r="C169" t="s">
        <v>29</v>
      </c>
      <c r="D169" s="2">
        <v>45051</v>
      </c>
      <c r="E169">
        <v>11700</v>
      </c>
      <c r="F169" t="s">
        <v>29</v>
      </c>
      <c r="G169" t="s">
        <v>39</v>
      </c>
      <c r="H169" t="s">
        <v>491</v>
      </c>
      <c r="I169">
        <v>5234.0150669166569</v>
      </c>
      <c r="J169">
        <v>9345.49</v>
      </c>
      <c r="K169">
        <v>19698.712045852611</v>
      </c>
      <c r="L169" s="2">
        <v>45160</v>
      </c>
      <c r="M169" t="s">
        <v>492</v>
      </c>
      <c r="N169">
        <v>4</v>
      </c>
      <c r="O169" t="b">
        <v>0</v>
      </c>
      <c r="P169" s="3">
        <v>44585</v>
      </c>
      <c r="Q169">
        <v>98900.489999999991</v>
      </c>
      <c r="R169" t="str">
        <f t="shared" ca="1" si="2"/>
        <v>01/05</v>
      </c>
    </row>
    <row r="170" spans="1:18" x14ac:dyDescent="0.3">
      <c r="A170" t="s">
        <v>493</v>
      </c>
      <c r="B170" t="s">
        <v>18</v>
      </c>
      <c r="C170" t="s">
        <v>24</v>
      </c>
      <c r="D170" s="2">
        <v>44517</v>
      </c>
      <c r="E170">
        <v>12902.42</v>
      </c>
      <c r="F170" t="s">
        <v>24</v>
      </c>
      <c r="G170" t="s">
        <v>25</v>
      </c>
      <c r="H170" t="s">
        <v>494</v>
      </c>
      <c r="I170">
        <v>6746.538538179856</v>
      </c>
      <c r="J170">
        <v>12902.42</v>
      </c>
      <c r="K170">
        <v>17617.808905404629</v>
      </c>
      <c r="L170" s="2">
        <v>44554</v>
      </c>
      <c r="M170" t="s">
        <v>495</v>
      </c>
      <c r="N170">
        <v>3</v>
      </c>
      <c r="O170" t="b">
        <v>0</v>
      </c>
      <c r="P170" s="3">
        <v>44442</v>
      </c>
      <c r="Q170">
        <v>36092.79</v>
      </c>
      <c r="R170" t="str">
        <f t="shared" ca="1" si="2"/>
        <v>09/08</v>
      </c>
    </row>
    <row r="171" spans="1:18" x14ac:dyDescent="0.3">
      <c r="A171" t="s">
        <v>496</v>
      </c>
      <c r="B171" t="s">
        <v>18</v>
      </c>
      <c r="C171" t="s">
        <v>19</v>
      </c>
      <c r="D171" s="2">
        <v>44657</v>
      </c>
      <c r="E171">
        <v>470.77</v>
      </c>
      <c r="F171" t="s">
        <v>19</v>
      </c>
      <c r="G171" t="s">
        <v>20</v>
      </c>
      <c r="H171" t="s">
        <v>497</v>
      </c>
      <c r="I171">
        <v>74.105312050367502</v>
      </c>
      <c r="J171">
        <v>324.70499999999998</v>
      </c>
      <c r="K171">
        <v>473.03910890962419</v>
      </c>
      <c r="L171" s="2">
        <v>44692</v>
      </c>
      <c r="M171" t="s">
        <v>498</v>
      </c>
      <c r="N171">
        <v>3</v>
      </c>
      <c r="O171" t="b">
        <v>0</v>
      </c>
      <c r="P171" s="3">
        <v>44586</v>
      </c>
      <c r="Q171">
        <v>956.84999999999991</v>
      </c>
      <c r="R171" t="str">
        <f t="shared" ca="1" si="2"/>
        <v>13/07</v>
      </c>
    </row>
    <row r="172" spans="1:18" x14ac:dyDescent="0.3">
      <c r="A172" t="s">
        <v>499</v>
      </c>
      <c r="B172" t="s">
        <v>38</v>
      </c>
      <c r="C172" t="s">
        <v>46</v>
      </c>
      <c r="D172" s="2">
        <v>45909</v>
      </c>
      <c r="E172">
        <v>23530.11</v>
      </c>
      <c r="F172" t="s">
        <v>46</v>
      </c>
      <c r="G172" t="s">
        <v>47</v>
      </c>
      <c r="H172" t="s">
        <v>500</v>
      </c>
      <c r="I172">
        <v>15556.55203702869</v>
      </c>
      <c r="J172">
        <v>23530.11</v>
      </c>
      <c r="K172">
        <v>51345.297479710352</v>
      </c>
      <c r="L172" s="2">
        <v>45909</v>
      </c>
      <c r="M172" t="s">
        <v>501</v>
      </c>
      <c r="N172">
        <v>14</v>
      </c>
      <c r="O172" t="b">
        <v>0</v>
      </c>
      <c r="P172" s="3">
        <v>44587</v>
      </c>
      <c r="Q172">
        <v>362023.27</v>
      </c>
      <c r="R172" t="str">
        <f t="shared" ca="1" si="2"/>
        <v>03/10</v>
      </c>
    </row>
    <row r="173" spans="1:18" x14ac:dyDescent="0.3">
      <c r="A173" t="s">
        <v>502</v>
      </c>
      <c r="B173" t="s">
        <v>38</v>
      </c>
      <c r="C173" t="s">
        <v>24</v>
      </c>
      <c r="D173" s="2">
        <v>45684</v>
      </c>
      <c r="E173">
        <v>8505.7999999999993</v>
      </c>
      <c r="F173" t="s">
        <v>24</v>
      </c>
      <c r="G173" t="s">
        <v>25</v>
      </c>
      <c r="H173" t="s">
        <v>503</v>
      </c>
      <c r="I173">
        <v>4625.5261078910116</v>
      </c>
      <c r="J173">
        <v>8469.7661077158937</v>
      </c>
      <c r="K173">
        <v>9799.3984289748641</v>
      </c>
      <c r="L173" s="2">
        <v>45880</v>
      </c>
      <c r="M173" t="s">
        <v>504</v>
      </c>
      <c r="N173">
        <v>6</v>
      </c>
      <c r="O173" t="b">
        <v>0</v>
      </c>
      <c r="P173" s="3">
        <v>44587</v>
      </c>
      <c r="Q173">
        <v>27696.77</v>
      </c>
      <c r="R173" t="str">
        <f t="shared" ca="1" si="2"/>
        <v>13/07</v>
      </c>
    </row>
    <row r="174" spans="1:18" x14ac:dyDescent="0.3">
      <c r="A174" t="s">
        <v>505</v>
      </c>
      <c r="B174" t="s">
        <v>34</v>
      </c>
      <c r="C174" t="s">
        <v>24</v>
      </c>
      <c r="D174" s="2">
        <v>44600</v>
      </c>
      <c r="E174">
        <v>981.34</v>
      </c>
      <c r="F174" t="s">
        <v>24</v>
      </c>
      <c r="G174" t="s">
        <v>25</v>
      </c>
      <c r="H174" t="s">
        <v>506</v>
      </c>
      <c r="I174">
        <v>981.34</v>
      </c>
      <c r="J174">
        <v>981.34</v>
      </c>
      <c r="K174">
        <v>981.34</v>
      </c>
      <c r="L174" s="2">
        <v>44630</v>
      </c>
      <c r="M174" t="s">
        <v>506</v>
      </c>
      <c r="N174">
        <v>1</v>
      </c>
      <c r="O174" t="b">
        <v>0</v>
      </c>
      <c r="P174" s="3">
        <v>44600</v>
      </c>
      <c r="Q174">
        <v>981.34</v>
      </c>
      <c r="R174" t="str">
        <f t="shared" ca="1" si="2"/>
        <v>23/04</v>
      </c>
    </row>
    <row r="175" spans="1:18" x14ac:dyDescent="0.3">
      <c r="A175" t="s">
        <v>507</v>
      </c>
      <c r="B175" t="s">
        <v>18</v>
      </c>
      <c r="C175" t="s">
        <v>24</v>
      </c>
      <c r="D175" s="2">
        <v>45183</v>
      </c>
      <c r="E175">
        <v>655.29999999999995</v>
      </c>
      <c r="F175" t="s">
        <v>24</v>
      </c>
      <c r="G175" t="s">
        <v>25</v>
      </c>
      <c r="H175" t="s">
        <v>508</v>
      </c>
      <c r="I175">
        <v>168.5580454972345</v>
      </c>
      <c r="J175">
        <v>517.42999999999995</v>
      </c>
      <c r="K175">
        <v>2228.6388099422379</v>
      </c>
      <c r="L175" s="2">
        <v>45261</v>
      </c>
      <c r="M175" t="s">
        <v>509</v>
      </c>
      <c r="N175">
        <v>9</v>
      </c>
      <c r="O175" t="b">
        <v>0</v>
      </c>
      <c r="P175" s="3">
        <v>44603</v>
      </c>
      <c r="Q175">
        <v>4357.6799999999994</v>
      </c>
      <c r="R175" t="str">
        <f t="shared" ca="1" si="2"/>
        <v>02/07</v>
      </c>
    </row>
    <row r="176" spans="1:18" x14ac:dyDescent="0.3">
      <c r="A176" t="s">
        <v>510</v>
      </c>
      <c r="B176" t="s">
        <v>34</v>
      </c>
      <c r="C176" t="s">
        <v>29</v>
      </c>
      <c r="D176" s="2">
        <v>44606</v>
      </c>
      <c r="E176">
        <v>1000</v>
      </c>
      <c r="F176" t="s">
        <v>29</v>
      </c>
      <c r="G176" t="s">
        <v>39</v>
      </c>
      <c r="H176" t="s">
        <v>31</v>
      </c>
      <c r="I176">
        <v>1000</v>
      </c>
      <c r="J176">
        <v>1000</v>
      </c>
      <c r="K176">
        <v>1000</v>
      </c>
      <c r="L176" s="2">
        <v>44636</v>
      </c>
      <c r="M176" t="s">
        <v>31</v>
      </c>
      <c r="N176">
        <v>1</v>
      </c>
      <c r="O176" t="b">
        <v>0</v>
      </c>
      <c r="P176" s="3">
        <v>44606</v>
      </c>
      <c r="Q176">
        <v>1000</v>
      </c>
      <c r="R176" t="str">
        <f t="shared" ca="1" si="2"/>
        <v>10/01</v>
      </c>
    </row>
    <row r="177" spans="1:18" x14ac:dyDescent="0.3">
      <c r="A177" t="s">
        <v>511</v>
      </c>
      <c r="B177" t="s">
        <v>38</v>
      </c>
      <c r="C177" t="s">
        <v>24</v>
      </c>
      <c r="D177" s="2">
        <v>45889</v>
      </c>
      <c r="E177">
        <v>2547.2600000000002</v>
      </c>
      <c r="F177" t="s">
        <v>24</v>
      </c>
      <c r="G177" t="s">
        <v>25</v>
      </c>
      <c r="H177" t="s">
        <v>512</v>
      </c>
      <c r="I177">
        <v>1365.697042449325</v>
      </c>
      <c r="J177">
        <v>3230.9736181658941</v>
      </c>
      <c r="K177">
        <v>6953.3786783150799</v>
      </c>
      <c r="L177" s="2">
        <v>45897</v>
      </c>
      <c r="M177" t="s">
        <v>513</v>
      </c>
      <c r="N177">
        <v>24</v>
      </c>
      <c r="O177" t="b">
        <v>0</v>
      </c>
      <c r="P177" s="3">
        <v>44608</v>
      </c>
      <c r="Q177">
        <v>105705.18</v>
      </c>
      <c r="R177" t="str">
        <f t="shared" ca="1" si="2"/>
        <v>24/10</v>
      </c>
    </row>
    <row r="178" spans="1:18" x14ac:dyDescent="0.3">
      <c r="A178" t="s">
        <v>514</v>
      </c>
      <c r="B178" t="s">
        <v>18</v>
      </c>
      <c r="C178" t="s">
        <v>66</v>
      </c>
      <c r="D178" s="2">
        <v>44617</v>
      </c>
      <c r="E178">
        <v>6250</v>
      </c>
      <c r="F178" t="s">
        <v>66</v>
      </c>
      <c r="G178" t="s">
        <v>67</v>
      </c>
      <c r="H178" t="s">
        <v>515</v>
      </c>
      <c r="I178">
        <v>6486.3949195706846</v>
      </c>
      <c r="J178">
        <v>11920</v>
      </c>
      <c r="K178">
        <v>21469.539238846679</v>
      </c>
      <c r="L178" s="2">
        <v>44617</v>
      </c>
      <c r="M178" t="s">
        <v>265</v>
      </c>
      <c r="N178">
        <v>4</v>
      </c>
      <c r="O178" t="b">
        <v>0</v>
      </c>
      <c r="P178" s="3">
        <v>44617</v>
      </c>
      <c r="Q178">
        <v>50000</v>
      </c>
      <c r="R178" t="str">
        <f t="shared" ca="1" si="2"/>
        <v>16/05</v>
      </c>
    </row>
    <row r="179" spans="1:18" x14ac:dyDescent="0.3">
      <c r="A179" t="s">
        <v>516</v>
      </c>
      <c r="B179" t="s">
        <v>38</v>
      </c>
      <c r="C179" t="s">
        <v>19</v>
      </c>
      <c r="D179" s="2">
        <v>45915</v>
      </c>
      <c r="E179">
        <v>740.95</v>
      </c>
      <c r="F179" t="s">
        <v>19</v>
      </c>
      <c r="G179" t="s">
        <v>20</v>
      </c>
      <c r="H179" t="s">
        <v>517</v>
      </c>
      <c r="I179">
        <v>27.007900142768221</v>
      </c>
      <c r="J179">
        <v>740.95</v>
      </c>
      <c r="K179">
        <v>2268.7049404532559</v>
      </c>
      <c r="L179" s="2">
        <v>45955</v>
      </c>
      <c r="M179" t="s">
        <v>518</v>
      </c>
      <c r="N179">
        <v>9</v>
      </c>
      <c r="O179" t="b">
        <v>0</v>
      </c>
      <c r="P179" s="3">
        <v>44617</v>
      </c>
      <c r="Q179">
        <v>12599.14</v>
      </c>
      <c r="R179" t="str">
        <f t="shared" ca="1" si="2"/>
        <v>22/04</v>
      </c>
    </row>
    <row r="180" spans="1:18" x14ac:dyDescent="0.3">
      <c r="A180" t="s">
        <v>519</v>
      </c>
      <c r="B180" t="s">
        <v>34</v>
      </c>
      <c r="C180" t="s">
        <v>29</v>
      </c>
      <c r="D180" s="2">
        <v>44623</v>
      </c>
      <c r="E180">
        <v>17000</v>
      </c>
      <c r="F180" t="s">
        <v>29</v>
      </c>
      <c r="G180" t="s">
        <v>39</v>
      </c>
      <c r="H180" t="s">
        <v>520</v>
      </c>
      <c r="I180">
        <v>17000</v>
      </c>
      <c r="J180">
        <v>17000</v>
      </c>
      <c r="K180">
        <v>17000</v>
      </c>
      <c r="L180" s="2">
        <v>44653</v>
      </c>
      <c r="M180" t="s">
        <v>520</v>
      </c>
      <c r="N180">
        <v>1</v>
      </c>
      <c r="O180" t="b">
        <v>0</v>
      </c>
      <c r="P180" s="3">
        <v>44623</v>
      </c>
      <c r="Q180">
        <v>17000</v>
      </c>
      <c r="R180" t="str">
        <f t="shared" ca="1" si="2"/>
        <v>05/12</v>
      </c>
    </row>
    <row r="181" spans="1:18" x14ac:dyDescent="0.3">
      <c r="A181" t="s">
        <v>521</v>
      </c>
      <c r="B181" t="s">
        <v>18</v>
      </c>
      <c r="C181" t="s">
        <v>24</v>
      </c>
      <c r="D181" s="2">
        <v>45868</v>
      </c>
      <c r="E181">
        <v>7882.24</v>
      </c>
      <c r="F181" t="s">
        <v>24</v>
      </c>
      <c r="G181" t="s">
        <v>25</v>
      </c>
      <c r="H181" t="s">
        <v>522</v>
      </c>
      <c r="I181">
        <v>1494.1527370013921</v>
      </c>
      <c r="J181">
        <v>3289.2821907892239</v>
      </c>
      <c r="K181">
        <v>5876.193295275837</v>
      </c>
      <c r="L181" s="2">
        <v>45874</v>
      </c>
      <c r="M181" t="s">
        <v>523</v>
      </c>
      <c r="N181">
        <v>96</v>
      </c>
      <c r="O181" t="b">
        <v>1</v>
      </c>
      <c r="P181" s="3">
        <v>44442</v>
      </c>
      <c r="Q181">
        <v>464161.27</v>
      </c>
      <c r="R181" t="str">
        <f t="shared" ca="1" si="2"/>
        <v>10/01</v>
      </c>
    </row>
    <row r="182" spans="1:18" x14ac:dyDescent="0.3">
      <c r="A182" t="s">
        <v>524</v>
      </c>
      <c r="B182" t="s">
        <v>38</v>
      </c>
      <c r="C182" t="s">
        <v>24</v>
      </c>
      <c r="D182" s="2">
        <v>45699</v>
      </c>
      <c r="E182">
        <v>10563.7</v>
      </c>
      <c r="F182" t="s">
        <v>19</v>
      </c>
      <c r="G182" t="s">
        <v>210</v>
      </c>
      <c r="H182" t="s">
        <v>525</v>
      </c>
      <c r="I182">
        <v>6221.2946336693103</v>
      </c>
      <c r="J182">
        <v>12650.544308265889</v>
      </c>
      <c r="K182">
        <v>20264.79589681132</v>
      </c>
      <c r="L182" s="2">
        <v>45774</v>
      </c>
      <c r="M182" t="s">
        <v>526</v>
      </c>
      <c r="N182">
        <v>12</v>
      </c>
      <c r="O182" t="b">
        <v>0</v>
      </c>
      <c r="P182" s="3">
        <v>44623</v>
      </c>
      <c r="Q182">
        <v>172479.83</v>
      </c>
      <c r="R182" t="str">
        <f t="shared" ca="1" si="2"/>
        <v>09/10</v>
      </c>
    </row>
    <row r="183" spans="1:18" x14ac:dyDescent="0.3">
      <c r="A183" t="s">
        <v>527</v>
      </c>
      <c r="B183" t="s">
        <v>38</v>
      </c>
      <c r="C183" t="s">
        <v>29</v>
      </c>
      <c r="D183" s="2">
        <v>45258</v>
      </c>
      <c r="E183">
        <v>26125.49</v>
      </c>
      <c r="F183" t="s">
        <v>29</v>
      </c>
      <c r="G183" t="s">
        <v>39</v>
      </c>
      <c r="H183" t="s">
        <v>528</v>
      </c>
      <c r="I183">
        <v>9345.8370442583982</v>
      </c>
      <c r="J183">
        <v>18587.59</v>
      </c>
      <c r="K183">
        <v>26166.404478837208</v>
      </c>
      <c r="L183" s="2">
        <v>45893</v>
      </c>
      <c r="M183" t="s">
        <v>528</v>
      </c>
      <c r="N183">
        <v>2</v>
      </c>
      <c r="O183" t="b">
        <v>0</v>
      </c>
      <c r="P183" s="3">
        <v>44623</v>
      </c>
      <c r="Q183">
        <v>37175.18</v>
      </c>
      <c r="R183" t="str">
        <f t="shared" ca="1" si="2"/>
        <v>06/02</v>
      </c>
    </row>
    <row r="184" spans="1:18" x14ac:dyDescent="0.3">
      <c r="A184" t="s">
        <v>529</v>
      </c>
      <c r="B184" t="s">
        <v>34</v>
      </c>
      <c r="C184" t="s">
        <v>29</v>
      </c>
      <c r="D184" s="2">
        <v>44624</v>
      </c>
      <c r="E184">
        <v>19591.8</v>
      </c>
      <c r="F184" t="s">
        <v>29</v>
      </c>
      <c r="G184" t="s">
        <v>39</v>
      </c>
      <c r="H184" t="s">
        <v>530</v>
      </c>
      <c r="I184">
        <v>19591.8</v>
      </c>
      <c r="J184">
        <v>19591.8</v>
      </c>
      <c r="K184">
        <v>19591.8</v>
      </c>
      <c r="L184" s="2">
        <v>44654</v>
      </c>
      <c r="M184" t="s">
        <v>530</v>
      </c>
      <c r="N184">
        <v>1</v>
      </c>
      <c r="O184" t="b">
        <v>0</v>
      </c>
      <c r="P184" s="3">
        <v>44624</v>
      </c>
      <c r="Q184">
        <v>19591.8</v>
      </c>
      <c r="R184" t="str">
        <f t="shared" ca="1" si="2"/>
        <v>08/09</v>
      </c>
    </row>
    <row r="185" spans="1:18" x14ac:dyDescent="0.3">
      <c r="A185" t="s">
        <v>531</v>
      </c>
      <c r="B185" t="s">
        <v>18</v>
      </c>
      <c r="C185" t="s">
        <v>19</v>
      </c>
      <c r="D185" s="2">
        <v>44671</v>
      </c>
      <c r="E185">
        <v>14789.82</v>
      </c>
      <c r="F185" t="s">
        <v>46</v>
      </c>
      <c r="G185" t="s">
        <v>35</v>
      </c>
      <c r="H185" t="s">
        <v>532</v>
      </c>
      <c r="I185">
        <v>7319.237410004599</v>
      </c>
      <c r="J185">
        <v>14789.82</v>
      </c>
      <c r="K185">
        <v>31077.282656983811</v>
      </c>
      <c r="L185" s="2">
        <v>44693</v>
      </c>
      <c r="M185" t="s">
        <v>533</v>
      </c>
      <c r="N185">
        <v>3</v>
      </c>
      <c r="O185" t="b">
        <v>0</v>
      </c>
      <c r="P185" s="3">
        <v>44627</v>
      </c>
      <c r="Q185">
        <v>129155.56</v>
      </c>
      <c r="R185" t="str">
        <f t="shared" ca="1" si="2"/>
        <v>08/07</v>
      </c>
    </row>
    <row r="186" spans="1:18" x14ac:dyDescent="0.3">
      <c r="A186" t="s">
        <v>534</v>
      </c>
      <c r="B186" t="s">
        <v>18</v>
      </c>
      <c r="C186" t="s">
        <v>19</v>
      </c>
      <c r="D186" s="2">
        <v>44671</v>
      </c>
      <c r="E186">
        <v>11774.72</v>
      </c>
      <c r="F186" t="s">
        <v>46</v>
      </c>
      <c r="G186" t="s">
        <v>35</v>
      </c>
      <c r="H186" t="s">
        <v>535</v>
      </c>
      <c r="I186">
        <v>7049.7265486101487</v>
      </c>
      <c r="J186">
        <v>11774.72</v>
      </c>
      <c r="K186">
        <v>28062.182656983809</v>
      </c>
      <c r="L186" s="2">
        <v>44693</v>
      </c>
      <c r="M186" t="s">
        <v>536</v>
      </c>
      <c r="N186">
        <v>3</v>
      </c>
      <c r="O186" t="b">
        <v>0</v>
      </c>
      <c r="P186" s="3">
        <v>44627</v>
      </c>
      <c r="Q186">
        <v>92120.07</v>
      </c>
      <c r="R186" t="str">
        <f t="shared" ca="1" si="2"/>
        <v>16/05</v>
      </c>
    </row>
    <row r="187" spans="1:18" x14ac:dyDescent="0.3">
      <c r="A187" t="s">
        <v>537</v>
      </c>
      <c r="B187" t="s">
        <v>38</v>
      </c>
      <c r="C187" t="s">
        <v>46</v>
      </c>
      <c r="D187" s="2">
        <v>45909</v>
      </c>
      <c r="E187">
        <v>10982.44</v>
      </c>
      <c r="F187" t="s">
        <v>46</v>
      </c>
      <c r="G187" t="s">
        <v>47</v>
      </c>
      <c r="H187" t="s">
        <v>538</v>
      </c>
      <c r="I187">
        <v>5897.9147952410667</v>
      </c>
      <c r="J187">
        <v>11847.7</v>
      </c>
      <c r="K187">
        <v>16660.965516373541</v>
      </c>
      <c r="L187" s="2">
        <v>45909</v>
      </c>
      <c r="M187" t="s">
        <v>539</v>
      </c>
      <c r="N187">
        <v>14</v>
      </c>
      <c r="O187" t="b">
        <v>0</v>
      </c>
      <c r="P187" s="3">
        <v>44627</v>
      </c>
      <c r="Q187">
        <v>116840.05</v>
      </c>
      <c r="R187" t="str">
        <f t="shared" ca="1" si="2"/>
        <v>05/03</v>
      </c>
    </row>
    <row r="188" spans="1:18" x14ac:dyDescent="0.3">
      <c r="A188" t="s">
        <v>540</v>
      </c>
      <c r="B188" t="s">
        <v>34</v>
      </c>
      <c r="C188" t="s">
        <v>29</v>
      </c>
      <c r="D188" s="2">
        <v>44627</v>
      </c>
      <c r="E188">
        <v>34957.410000000003</v>
      </c>
      <c r="F188" t="s">
        <v>29</v>
      </c>
      <c r="G188" t="s">
        <v>39</v>
      </c>
      <c r="H188" t="s">
        <v>541</v>
      </c>
      <c r="I188">
        <v>34957.410000000003</v>
      </c>
      <c r="J188">
        <v>34957.410000000003</v>
      </c>
      <c r="K188">
        <v>34957.410000000003</v>
      </c>
      <c r="L188" s="2">
        <v>44657</v>
      </c>
      <c r="M188" t="s">
        <v>541</v>
      </c>
      <c r="N188">
        <v>1</v>
      </c>
      <c r="O188" t="b">
        <v>0</v>
      </c>
      <c r="P188" s="3">
        <v>44627</v>
      </c>
      <c r="Q188">
        <v>34957.410000000003</v>
      </c>
      <c r="R188" t="str">
        <f t="shared" ca="1" si="2"/>
        <v>11/07</v>
      </c>
    </row>
    <row r="189" spans="1:18" x14ac:dyDescent="0.3">
      <c r="A189" t="s">
        <v>542</v>
      </c>
      <c r="B189" t="s">
        <v>18</v>
      </c>
      <c r="C189" t="s">
        <v>19</v>
      </c>
      <c r="D189" s="2">
        <v>45005</v>
      </c>
      <c r="E189">
        <v>1941.99</v>
      </c>
      <c r="F189" t="s">
        <v>24</v>
      </c>
      <c r="G189" t="s">
        <v>543</v>
      </c>
      <c r="H189" t="s">
        <v>544</v>
      </c>
      <c r="I189">
        <v>1345.301513580089</v>
      </c>
      <c r="J189">
        <v>2832.69</v>
      </c>
      <c r="K189">
        <v>5254.0689604921863</v>
      </c>
      <c r="L189" s="2">
        <v>45011</v>
      </c>
      <c r="M189" t="s">
        <v>545</v>
      </c>
      <c r="N189">
        <v>8</v>
      </c>
      <c r="O189" t="b">
        <v>0</v>
      </c>
      <c r="P189" s="3">
        <v>44638</v>
      </c>
      <c r="Q189">
        <v>22900.09</v>
      </c>
      <c r="R189" t="str">
        <f t="shared" ca="1" si="2"/>
        <v>19/09</v>
      </c>
    </row>
    <row r="190" spans="1:18" x14ac:dyDescent="0.3">
      <c r="A190" t="s">
        <v>546</v>
      </c>
      <c r="B190" t="s">
        <v>38</v>
      </c>
      <c r="C190" t="s">
        <v>24</v>
      </c>
      <c r="D190" s="2">
        <v>44991</v>
      </c>
      <c r="E190">
        <v>2095.9</v>
      </c>
      <c r="F190" t="s">
        <v>24</v>
      </c>
      <c r="G190" t="s">
        <v>25</v>
      </c>
      <c r="H190" t="s">
        <v>547</v>
      </c>
      <c r="I190">
        <v>1235.0683224015629</v>
      </c>
      <c r="J190">
        <v>2094.1623587608942</v>
      </c>
      <c r="K190">
        <v>2085.442084991143</v>
      </c>
      <c r="L190" s="2">
        <v>45340</v>
      </c>
      <c r="M190" t="s">
        <v>548</v>
      </c>
      <c r="N190">
        <v>2</v>
      </c>
      <c r="O190" t="b">
        <v>0</v>
      </c>
      <c r="P190" s="3">
        <v>44642</v>
      </c>
      <c r="Q190">
        <v>4250.22</v>
      </c>
      <c r="R190" t="str">
        <f t="shared" ca="1" si="2"/>
        <v>08/07</v>
      </c>
    </row>
    <row r="191" spans="1:18" x14ac:dyDescent="0.3">
      <c r="A191" t="s">
        <v>549</v>
      </c>
      <c r="B191" t="s">
        <v>34</v>
      </c>
      <c r="C191" t="s">
        <v>24</v>
      </c>
      <c r="D191" s="2">
        <v>44643</v>
      </c>
      <c r="E191">
        <v>6704.33</v>
      </c>
      <c r="F191" t="s">
        <v>24</v>
      </c>
      <c r="G191" t="s">
        <v>25</v>
      </c>
      <c r="H191" t="s">
        <v>550</v>
      </c>
      <c r="I191">
        <v>6704.33</v>
      </c>
      <c r="J191">
        <v>6704.33</v>
      </c>
      <c r="K191">
        <v>6704.33</v>
      </c>
      <c r="L191" s="2">
        <v>44673</v>
      </c>
      <c r="M191" t="s">
        <v>550</v>
      </c>
      <c r="N191">
        <v>1</v>
      </c>
      <c r="O191" t="b">
        <v>0</v>
      </c>
      <c r="P191" s="3">
        <v>44643</v>
      </c>
      <c r="Q191">
        <v>6704.33</v>
      </c>
      <c r="R191" t="str">
        <f t="shared" ca="1" si="2"/>
        <v>01/04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Rudra Somaiya</cp:lastModifiedBy>
  <dcterms:created xsi:type="dcterms:W3CDTF">2025-12-05T04:38:41Z</dcterms:created>
  <dcterms:modified xsi:type="dcterms:W3CDTF">2026-03-05T16:26:26Z</dcterms:modified>
</cp:coreProperties>
</file>